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shivamsingla/Downloads/"/>
    </mc:Choice>
  </mc:AlternateContent>
  <xr:revisionPtr revIDLastSave="0" documentId="13_ncr:1_{C35EC5AC-F257-3140-BF6E-C1E75D8C06C3}" xr6:coauthVersionLast="47" xr6:coauthVersionMax="47" xr10:uidLastSave="{00000000-0000-0000-0000-000000000000}"/>
  <bookViews>
    <workbookView xWindow="0" yWindow="660" windowWidth="30240" windowHeight="18980" xr2:uid="{00000000-000D-0000-FFFF-FFFF00000000}"/>
  </bookViews>
  <sheets>
    <sheet name="Team Members" sheetId="1" r:id="rId1"/>
    <sheet name="Part I Corporate Governance" sheetId="2" r:id="rId2"/>
    <sheet name="Part II IPO Analysis" sheetId="3" r:id="rId3"/>
    <sheet name="Part III – Financial Management" sheetId="4" r:id="rId4"/>
    <sheet name="Referenc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0" i="4" l="1"/>
  <c r="G560" i="4" s="1"/>
  <c r="E559" i="4"/>
  <c r="G559" i="4" s="1"/>
  <c r="E558" i="4"/>
  <c r="G558" i="4" s="1"/>
  <c r="E557" i="4"/>
  <c r="G557" i="4" s="1"/>
  <c r="E556" i="4"/>
  <c r="G556" i="4" s="1"/>
  <c r="E561" i="4" s="1"/>
  <c r="E483" i="4"/>
  <c r="G483" i="4" s="1"/>
  <c r="E482" i="4"/>
  <c r="G482" i="4" s="1"/>
  <c r="E481" i="4"/>
  <c r="G481" i="4" s="1"/>
  <c r="G480" i="4"/>
  <c r="E480" i="4"/>
  <c r="E479" i="4"/>
  <c r="G479" i="4" s="1"/>
  <c r="G459" i="4"/>
  <c r="G458" i="4"/>
  <c r="G457" i="4"/>
  <c r="G456" i="4"/>
  <c r="G455" i="4"/>
  <c r="G395" i="4"/>
  <c r="E395" i="4"/>
  <c r="E394" i="4"/>
  <c r="G394" i="4" s="1"/>
  <c r="G393" i="4"/>
  <c r="E393" i="4"/>
  <c r="E392" i="4"/>
  <c r="G392" i="4" s="1"/>
  <c r="E391" i="4"/>
  <c r="G391" i="4" s="1"/>
  <c r="G371" i="4"/>
  <c r="G370" i="4"/>
  <c r="G369" i="4"/>
  <c r="G368" i="4"/>
  <c r="G367" i="4"/>
  <c r="E322" i="4"/>
  <c r="E324" i="4" s="1"/>
  <c r="E309" i="4"/>
  <c r="G261" i="4"/>
  <c r="G260" i="4"/>
  <c r="G259" i="4"/>
  <c r="H226" i="4"/>
  <c r="G226" i="4"/>
  <c r="H225" i="4"/>
  <c r="G225" i="4"/>
  <c r="H224" i="4"/>
  <c r="G224" i="4"/>
  <c r="G223" i="4"/>
  <c r="H223" i="4" s="1"/>
  <c r="H222" i="4"/>
  <c r="G222" i="4"/>
  <c r="G221" i="4"/>
  <c r="H221" i="4" s="1"/>
  <c r="G203" i="4"/>
  <c r="H203" i="4" s="1"/>
  <c r="G202" i="4"/>
  <c r="H202" i="4" s="1"/>
  <c r="H201" i="4"/>
  <c r="G201" i="4"/>
  <c r="H200" i="4"/>
  <c r="G200" i="4"/>
  <c r="H199" i="4"/>
  <c r="G199" i="4"/>
  <c r="H198" i="4"/>
  <c r="G198" i="4"/>
  <c r="H197" i="4"/>
  <c r="G197" i="4"/>
  <c r="H196" i="4"/>
  <c r="G196" i="4"/>
  <c r="E170" i="4"/>
  <c r="B170" i="4"/>
  <c r="D166" i="4" s="1"/>
  <c r="G169" i="4"/>
  <c r="D169" i="4"/>
  <c r="G168" i="4"/>
  <c r="D168" i="4"/>
  <c r="G167" i="4"/>
  <c r="D167" i="4"/>
  <c r="G166" i="4"/>
  <c r="G165" i="4"/>
  <c r="G170" i="4" s="1"/>
  <c r="D165" i="4"/>
  <c r="E139" i="4"/>
  <c r="B139" i="4"/>
  <c r="G138" i="4"/>
  <c r="D138" i="4"/>
  <c r="G137" i="4"/>
  <c r="D137" i="4"/>
  <c r="G136" i="4"/>
  <c r="D136" i="4"/>
  <c r="G135" i="4"/>
  <c r="G139" i="4" s="1"/>
  <c r="D135" i="4"/>
  <c r="G134" i="4"/>
  <c r="D134" i="4"/>
  <c r="D139" i="4" s="1"/>
  <c r="G133" i="4"/>
  <c r="D133" i="4"/>
  <c r="D110" i="4"/>
  <c r="H104" i="4" s="1"/>
  <c r="H110" i="4" s="1"/>
  <c r="B110" i="4"/>
  <c r="G109" i="4" s="1"/>
  <c r="H109" i="4"/>
  <c r="F109" i="4"/>
  <c r="H108" i="4"/>
  <c r="F108" i="4"/>
  <c r="H107" i="4"/>
  <c r="F107" i="4"/>
  <c r="H106" i="4"/>
  <c r="G106" i="4"/>
  <c r="F106" i="4"/>
  <c r="H105" i="4"/>
  <c r="F105" i="4"/>
  <c r="F104" i="4"/>
  <c r="F110" i="4" s="1"/>
  <c r="F92" i="4"/>
  <c r="C92" i="4"/>
  <c r="C79" i="4"/>
  <c r="G77" i="4"/>
  <c r="E77" i="4"/>
  <c r="E79" i="4" s="1"/>
  <c r="C77" i="4"/>
  <c r="H75" i="4"/>
  <c r="H74" i="4"/>
  <c r="H71" i="4"/>
  <c r="E66" i="4"/>
  <c r="H73" i="4" s="1"/>
  <c r="C43" i="4"/>
  <c r="E39" i="4"/>
  <c r="E38" i="4"/>
  <c r="G17" i="4"/>
  <c r="H17" i="4" s="1"/>
  <c r="E16" i="4"/>
  <c r="E18" i="4" s="1"/>
  <c r="C16" i="4"/>
  <c r="C18" i="4" s="1"/>
  <c r="C84" i="4" s="1"/>
  <c r="G15" i="4"/>
  <c r="G14" i="4"/>
  <c r="H14" i="4" s="1"/>
  <c r="G13" i="4"/>
  <c r="H13" i="4" s="1"/>
  <c r="G12" i="4"/>
  <c r="H12" i="4" s="1"/>
  <c r="G11" i="4"/>
  <c r="G10" i="4"/>
  <c r="H10" i="4" s="1"/>
  <c r="H9" i="4"/>
  <c r="G9" i="4"/>
  <c r="B34" i="3"/>
  <c r="B33" i="3"/>
  <c r="B32" i="3"/>
  <c r="B31" i="3"/>
  <c r="D25" i="3"/>
  <c r="D24" i="3"/>
  <c r="D23" i="3"/>
  <c r="C14" i="3"/>
  <c r="E484" i="4" l="1"/>
  <c r="F323" i="4"/>
  <c r="D331" i="4" s="1"/>
  <c r="F331" i="4" s="1"/>
  <c r="F322" i="4"/>
  <c r="D170" i="4"/>
  <c r="G18" i="4"/>
  <c r="H18" i="4" s="1"/>
  <c r="C85" i="4"/>
  <c r="E396" i="4"/>
  <c r="G16" i="4"/>
  <c r="H16" i="4" s="1"/>
  <c r="E41" i="4"/>
  <c r="H76" i="4"/>
  <c r="E42" i="4"/>
  <c r="G107" i="4"/>
  <c r="G104" i="4"/>
  <c r="H70" i="4"/>
  <c r="H78" i="4"/>
  <c r="G108" i="4"/>
  <c r="H72" i="4"/>
  <c r="G105" i="4"/>
  <c r="E37" i="4"/>
  <c r="E43" i="4" s="1"/>
  <c r="H77" i="4" l="1"/>
  <c r="G110" i="4"/>
  <c r="D332" i="4"/>
  <c r="F332" i="4" s="1"/>
  <c r="F324" i="4"/>
  <c r="F333" i="4"/>
  <c r="H79" i="4" l="1"/>
  <c r="G79" i="4"/>
</calcChain>
</file>

<file path=xl/sharedStrings.xml><?xml version="1.0" encoding="utf-8"?>
<sst xmlns="http://schemas.openxmlformats.org/spreadsheetml/2006/main" count="747" uniqueCount="585">
  <si>
    <t>BITS Pilani - Pilani Campus</t>
  </si>
  <si>
    <t>Course</t>
  </si>
  <si>
    <t>FIN F315: Financial Management (FinMan)</t>
  </si>
  <si>
    <t>Assignment</t>
  </si>
  <si>
    <t>Corporate Governance, IPO Analysis &amp; Financial Analysis</t>
  </si>
  <si>
    <t>Submitted to</t>
  </si>
  <si>
    <t>Prof. Rajan Pandey, Prof. Jobin Mathew</t>
  </si>
  <si>
    <t>Company</t>
  </si>
  <si>
    <t>Vishwaraj Sugar Industries Ltd. (VSIL)</t>
  </si>
  <si>
    <t>Group Code</t>
  </si>
  <si>
    <t>FM002</t>
  </si>
  <si>
    <t>Prepared By:</t>
  </si>
  <si>
    <t>Name</t>
  </si>
  <si>
    <t>Student ID</t>
  </si>
  <si>
    <t>Shivam Singla</t>
  </si>
  <si>
    <t>2023A7PS0576P</t>
  </si>
  <si>
    <t>Academic Year</t>
  </si>
  <si>
    <t>2025–2026</t>
  </si>
  <si>
    <t>Submission Date</t>
  </si>
  <si>
    <t>Vishwaraj Sugar Industries Ltd. (VSIL).</t>
  </si>
  <si>
    <t>Part I: Corporate Governance</t>
  </si>
  <si>
    <t>Q1: Is it a family-run business?</t>
  </si>
  <si>
    <t xml:space="preserve">Yes — promoter family (Katti family) holds key management roles; family-led.        </t>
  </si>
  <si>
    <t>Q2: Size of board (latest)</t>
  </si>
  <si>
    <t>8 members (executive + independent).</t>
  </si>
  <si>
    <t>Q3: Is Chairman also top manager (CEO duality)?</t>
  </si>
  <si>
    <t>Yes — Chairman is also MD (CEO duality).</t>
  </si>
  <si>
    <t>Positive impact</t>
  </si>
  <si>
    <t>Negative impact</t>
  </si>
  <si>
    <t>Faster decision-making (no split leadership delays)</t>
  </si>
  <si>
    <t>Concentration of power; higher risk of unchecked decisions</t>
  </si>
  <si>
    <t>Clear strategic vision &amp; accountability (single leader)</t>
  </si>
  <si>
    <t>Weaker board oversight; potential conflicts of interest</t>
  </si>
  <si>
    <t>Stronger coordination between board and management</t>
  </si>
  <si>
    <t>Potential for entrenchment and reduced managerial accountability</t>
  </si>
  <si>
    <t>Saves time and cost (one role vs two)</t>
  </si>
  <si>
    <t>Reduced independence of board committees (esp. nomination/remuneration)</t>
  </si>
  <si>
    <t>Improved crisis response (decisive actions)</t>
  </si>
  <si>
    <t>Promoter influence can outweigh minority shareholders' interests</t>
  </si>
  <si>
    <t>Better long-term commitment to strategy (owner-managers)</t>
  </si>
  <si>
    <t>Potential for related-party transactions and favoritism</t>
  </si>
  <si>
    <t>Easier implementation of turnaround plans (if competent)</t>
  </si>
  <si>
    <t>Difficulty in evaluating CEO performance objectively</t>
  </si>
  <si>
    <t>Signals strong promoter commitment to business</t>
  </si>
  <si>
    <t>Risks investor scepticism on governance quality</t>
  </si>
  <si>
    <t>Q4: Gender Diversity</t>
  </si>
  <si>
    <t>2 female/6 males</t>
  </si>
  <si>
    <t>Low female representation in the BoD.</t>
  </si>
  <si>
    <t>Q5: No. of independent directors</t>
  </si>
  <si>
    <t>4 independent directors.</t>
  </si>
  <si>
    <t>Shivanand Tubachi, Basavaraj Veerappa Hagaragi, Vishnukumar Mahadev Kulkarni, Pratibha Munnolli</t>
  </si>
  <si>
    <t>Role</t>
  </si>
  <si>
    <t>Age</t>
  </si>
  <si>
    <t>Qualification</t>
  </si>
  <si>
    <t>Experience</t>
  </si>
  <si>
    <t>Nikhil Umesh Katti</t>
  </si>
  <si>
    <t>Promotor &amp; Managing Director</t>
  </si>
  <si>
    <t>BBA; MBA (International Marketing, University of Wales)</t>
  </si>
  <si>
    <t>With over 11 years experience in the sugar industry, he is responsible for the overall growth and development of all company's segments especially the distillery unit. He is also involved in the marketing of the products of our Company and has been instrumental in the brand positioning and expansion of our Indian Made Liquor (IML) products.</t>
  </si>
  <si>
    <t>Kush Ramesh Katti</t>
  </si>
  <si>
    <t>Promoter &amp; Whole-time Director</t>
  </si>
  <si>
    <t>Master degree in Business Administration from ESC Pau Business School, France</t>
  </si>
  <si>
    <t>He has been serving on the Board of the Company since 2013 and is instrumental in maintaining cordial relations with farmers and ensuring sugarcane supply to the factory.</t>
  </si>
  <si>
    <t>Sneha Nitin Dev</t>
  </si>
  <si>
    <t>Promoter</t>
  </si>
  <si>
    <t>Bachelor of Business Administration</t>
  </si>
  <si>
    <t>Appointed 2022; executive responsibilities in company operations.She is actively associated with social activities of the community. She has knowledge in the field of finance and accounts.</t>
  </si>
  <si>
    <t>Mukesh Kumar</t>
  </si>
  <si>
    <t xml:space="preserve"> Executive Director</t>
  </si>
  <si>
    <t>Bachelor of Science (Chemical Engineering) from Ranchi University.</t>
  </si>
  <si>
    <t>He has more than 3 decades of experience in petroleum, distillery and sugar industry including approximately 15 years in Vishwaraj Sugarfrom the year 2003 to 2016. He has also acted as a Whole Time Director of the Company from 2009 till 2016.</t>
  </si>
  <si>
    <t>Vishnukumar Mahadev Kulkarni</t>
  </si>
  <si>
    <t>Independent Director</t>
  </si>
  <si>
    <t>M.Sc. in MICROBIOLOGY from Poona University, 1983</t>
  </si>
  <si>
    <t>He founded his proprietary concern, V. M. Biotech, focused on research, consultancy, and the manufacturing of specialty chemicals in the field of microbiology for the sugar industry, water treatment, and biotechnology. He developed rapid acting biocides for sugar industry viz. POLMAX ESR and Polmax Supreme, SUCROGUARD for infield cane sanitation etc. He is a life member of the South India Sugar Technologists’ Association.</t>
  </si>
  <si>
    <t>Basavaraj Veerappa Hagaragi</t>
  </si>
  <si>
    <t>Bachelor degree of Arts from Karnataka University</t>
  </si>
  <si>
    <t>He has over 23 years of experience in Banking Sector. He has worked in BDCC Bank as Branch Manager, Senior Manager since 1981 and was promoted as General Manager in 2007. He is currently retired.He chairs Nomination &amp; Remuneration Committee.</t>
  </si>
  <si>
    <t>Shivanand Tubachi</t>
  </si>
  <si>
    <t>He has over 23 years of experience of working in banking sector.He worked as general manager in the Belgavi District Co-operative Bank Ltd. for 2006 – 2011 and is currently associated with the bank in advisory capacity.</t>
  </si>
  <si>
    <t>Pratibha Munnolli</t>
  </si>
  <si>
    <t>Bachelor degree in Ayurvedic Medicine and Surgery from Rajiv Gandhi University of Health Sciences, Karnataka.</t>
  </si>
  <si>
    <t>She has more than 8 years of experience as medical practitioner. Independent director; member of board committees.</t>
  </si>
  <si>
    <t>Q6: Serious lawsuits filed against the firm</t>
  </si>
  <si>
    <t>SEBI Securities Violation (2020)Regulatory action by Securities and Exchange Board of India (SEBI), 2020</t>
  </si>
  <si>
    <t>SEBI imposed a ₹7 lakh penalty on Vishwaraj Sugar Industries for illegally structuring equity share allotments to circumvent public offering requirements. The company allotted shares in 43 tranches to nearly 2,000 people between 2007-2008, which collectively constituted a public offer but was treated as private placements. Additionally, the company made an undisclosed share transfer to 9,671 farmers in 2014 without proper disclosure.</t>
  </si>
  <si>
    <t>Spray Engineering Devices Limited vs Vishwaraj Sugar Industries Ltd.</t>
  </si>
  <si>
    <t>This is a petition under Section 9 of the Insolvency and Bankruptcy Code, 2016 (IBC) filed against VSIL — i.e. a creditor (Spray Engineering Devices Ltd.) has invoked insolvency-related proceedings against VSIL.</t>
  </si>
  <si>
    <t>Litigation vs the Government of Karnataka - appeal in High Court</t>
  </si>
  <si>
    <t>The dispute arose because the state government (via its sugar-control authority) issued a “recovery certificate” and ordered a public auction of ~5,000 metric tonnes of sugar belonging to Vishwaraj Sugar, to recover dues of about ₹ 7.91 crore that the factory allegedly owed to sugarcane growers for the 2013–14 season</t>
  </si>
  <si>
    <t>Q7: Auditor name &amp; opinion</t>
  </si>
  <si>
    <t>P G Ghali &amp; Co. — clean/unmodified opinion (FY24).</t>
  </si>
  <si>
    <t>M/s P. G. Ghali &amp; Co. is a 53-year-old chartered accountancy firm with long-standing experience in statutory audits, taxation, and compliance, especially for sugar mills and manufacturing firms. The firm’s partners have over 15–20 years of audit experience, and there are no reported disciplinary issues, indicating a stable and competent audit practice.</t>
  </si>
  <si>
    <t>Is information asymmetry a potential contention between the board of directors and top management?</t>
  </si>
  <si>
    <t xml:space="preserve">Yes. </t>
  </si>
  <si>
    <t>Due to CEO duality, promoter dominance, and auditor remarks on weak audit-trail systems, information asymmetry is likely and can hinder effective board oversight.</t>
  </si>
  <si>
    <t>Part II: IPO Analysis</t>
  </si>
  <si>
    <t>Q1: Dates of IPO</t>
  </si>
  <si>
    <t>IPO Open Date</t>
  </si>
  <si>
    <t>IPO Close Date</t>
  </si>
  <si>
    <t>Allotment Date</t>
  </si>
  <si>
    <t>Listing Date</t>
  </si>
  <si>
    <t>Q2: IPO Price (in ₹)</t>
  </si>
  <si>
    <t>Issue Price (in ₹)</t>
  </si>
  <si>
    <t>Price Band</t>
  </si>
  <si>
    <t>₹55–₹60</t>
  </si>
  <si>
    <t>Listing day close</t>
  </si>
  <si>
    <t>First-Day % Gain Formula</t>
  </si>
  <si>
    <t>As this is positive, it is IPO Underpricing</t>
  </si>
  <si>
    <t>Q3: Lead Underwriter</t>
  </si>
  <si>
    <t>Aryaman Financial Services Ltd.</t>
  </si>
  <si>
    <r>
      <rPr>
        <b/>
        <sz val="12"/>
        <color theme="1"/>
        <rFont val="Verdana"/>
        <family val="2"/>
      </rPr>
      <t xml:space="preserve">Registrar to the Issue: </t>
    </r>
    <r>
      <rPr>
        <sz val="12"/>
        <color theme="1"/>
        <rFont val="Verdana"/>
        <family val="2"/>
      </rPr>
      <t>Bigshare Services Pvt. Ltd.</t>
    </r>
  </si>
  <si>
    <t xml:space="preserve">Q4: Reason for IPO </t>
  </si>
  <si>
    <t>No of shares outstanding</t>
  </si>
  <si>
    <t>Price per share</t>
  </si>
  <si>
    <t>Total Price (in INR)</t>
  </si>
  <si>
    <t>Issue Size</t>
  </si>
  <si>
    <t>Fresh Issue</t>
  </si>
  <si>
    <t>Offer For Sale</t>
  </si>
  <si>
    <t>A mix of both: 30 lakh fresh issue shares (30 %) and 70 lakh offer-for-sale shares (70 %).</t>
  </si>
  <si>
    <t>The IPO comprised a mix of fresh issue and offer-for-sale. The fresh issue portion was primarily intended for funding working capital requirements (~₹15.44 crore) and general corporate purposes, while the offer-for-sale was by selling shareholders who would not receive the proceeds.</t>
  </si>
  <si>
    <t>Q5: Subscription (Times)</t>
  </si>
  <si>
    <t>12% Oversubscribed</t>
  </si>
  <si>
    <t>Investor Category</t>
  </si>
  <si>
    <t>Subscription (times)</t>
  </si>
  <si>
    <t>Shares Offered</t>
  </si>
  <si>
    <t>Shares Bid For</t>
  </si>
  <si>
    <t>Qualified Institutions</t>
  </si>
  <si>
    <t>Non-Institutional Buyers (NII/HNI)</t>
  </si>
  <si>
    <t>Retail Investors</t>
  </si>
  <si>
    <t>Total</t>
  </si>
  <si>
    <t>Q7: Amount mobilized (in Rs) during the IPO</t>
  </si>
  <si>
    <t>₹60 Cr</t>
  </si>
  <si>
    <t>₹60 * 1,00,00,000 shares</t>
  </si>
  <si>
    <t>Q8: Shareholding pattern before and after IPO</t>
  </si>
  <si>
    <t>Promoter &amp; Promoter Group</t>
  </si>
  <si>
    <t>Public &amp; Employee</t>
  </si>
  <si>
    <t>Shareholding pattern before IPO (promoter / public / others)</t>
  </si>
  <si>
    <t>Shareholding pattern after IPO (promoter / public / others)</t>
  </si>
  <si>
    <t xml:space="preserve">Q9: Did IPO provide exit routes to Private equity, venture capitalists, or Angel 
investors? </t>
  </si>
  <si>
    <t>No (Promoter Offer For Sale only)</t>
  </si>
  <si>
    <t>Q10: Utilisation of Proceeds</t>
  </si>
  <si>
    <t>From the total net proceeds of 60 crore, ₹42 crore raised through OFS went entirely to selling shareholders and not to the company, while the remaining 18 crore as fresh issue was used as below:</t>
  </si>
  <si>
    <t>18 cr</t>
  </si>
  <si>
    <t>Use of Funds</t>
  </si>
  <si>
    <t>Amount (₹ crore)</t>
  </si>
  <si>
    <t>Purpose</t>
  </si>
  <si>
    <t>Funding working capital requirements</t>
  </si>
  <si>
    <t>₹15.44 crore</t>
  </si>
  <si>
    <t>To support operational cash flow needs, mainly for sugarcane procurement, inventory, and seasonal liquidity.</t>
  </si>
  <si>
    <t>General corporate purposes</t>
  </si>
  <si>
    <t>₹2.56 crore</t>
  </si>
  <si>
    <t>Used for routine corporate expenses, strategic and administrative needs, and strengthening overall financial flexibility.</t>
  </si>
  <si>
    <t xml:space="preserve">Q11: Underwriting fees incurred during the IPO </t>
  </si>
  <si>
    <t>We couldn’t find any publicly disclosed figure for the underwriting fees incurred by Vishwaraj Sugar Industries Ltd during its IPO.</t>
  </si>
  <si>
    <t>According to public filings from over 1,300 companies, IPO-related underwriting and issue-management costs typically range between 4% and 7% of the total gross proceeds. Applying this range to Vishwaraj Sugar’s IPO size of ₹60 crore implies estimated costs between ₹2.40 crore and ₹4.20 crore.</t>
  </si>
  <si>
    <t>Q12: Post the IPO, has the company ever resorted to the following modes for financing 
its projects:</t>
  </si>
  <si>
    <t>Financing Mode</t>
  </si>
  <si>
    <t>Yes / No</t>
  </si>
  <si>
    <t>Crowdfunding</t>
  </si>
  <si>
    <t>No</t>
  </si>
  <si>
    <t>Private Equity</t>
  </si>
  <si>
    <t>Peer-to-peer lending</t>
  </si>
  <si>
    <t>Investment by commercial banks or NBFCs</t>
  </si>
  <si>
    <t>Yes</t>
  </si>
  <si>
    <t>CONCLUSION</t>
  </si>
  <si>
    <t>Was the IPO a success or failure?</t>
  </si>
  <si>
    <t>The IPO was fully subscribed (1.12×) → not very strong demand, but still successful. It listed with a positive first-day gain of +0.58%, which meets the definition of IPO underpricing. Listing day close: ₹60.35 vs. issue price ₹60 → marginally positive. Market treated the stock neutrally to cautiously, indicating moderate investor confidence, not excitement.</t>
  </si>
  <si>
    <t>How did the company perform after its IPO?</t>
  </si>
  <si>
    <t>The stock fell well below its issue price over the following months/years. Weak earnings, high debt, and modest growth meant post-IPO fundamentals did not improve significantly. Promoters holding fell from 54.22% to 32.83%, and the stock never developed strong momentum afterward. So in long-term terms, the performance of the company after IPO has been poor.</t>
  </si>
  <si>
    <t>Did IPO oversubscription and underpricing help long-term price performance?</t>
  </si>
  <si>
    <t>Oversubscription was very low (only 12% above demand). Underpricing was almost negligible (less than 1%). The company’s long-term stock performance did not benefit from either factor. Once financial results weakened, the stock price declined, showing that sentiment from a mildly positive listing did not sustain.</t>
  </si>
  <si>
    <t>Part III – Financial Management of the company</t>
  </si>
  <si>
    <t>Years ending in 31 March 2024 (FY24) and 31 March 2025(FY25) taken as reference period</t>
  </si>
  <si>
    <t>I. Capital Expenditure</t>
  </si>
  <si>
    <t>Vishwaraj Sugar Industries Limited  (VSIL), a sugar, ethanol, and co-generation company based in Karnataka, undertook significant capital investments during FY 2024-25, totaling Rs. 8,265.06 lakhs, representing a 13.4% increase compared to FY 2023-24 (Rs. 25,017.00 lakhs). The company's capex strategy reflects a clear focus on capacity expansion and diversification into high-value products, particularly ethanol production and power generation capabilities</t>
  </si>
  <si>
    <t xml:space="preserve"> </t>
  </si>
  <si>
    <t>Particular</t>
  </si>
  <si>
    <t>FY 2023-24</t>
  </si>
  <si>
    <t>FY 2024-25</t>
  </si>
  <si>
    <t>Change</t>
  </si>
  <si>
    <t>% Change</t>
  </si>
  <si>
    <t>PP&amp;E Additions</t>
  </si>
  <si>
    <t>Factory buildings</t>
  </si>
  <si>
    <t>Other Building</t>
  </si>
  <si>
    <t>-</t>
  </si>
  <si>
    <t>Office Equipment</t>
  </si>
  <si>
    <t>Furniture &amp; Fixtures</t>
  </si>
  <si>
    <t>Vehicles</t>
  </si>
  <si>
    <t>Land</t>
  </si>
  <si>
    <t>CAPEX</t>
  </si>
  <si>
    <t>Capital Work in Progress (CWIP)</t>
  </si>
  <si>
    <t>Total Capital Investment</t>
  </si>
  <si>
    <t>Nature of Capital Expenditure</t>
  </si>
  <si>
    <t>Capex Use Category</t>
  </si>
  <si>
    <t>Description/Project Details</t>
  </si>
  <si>
    <t>EXPANSION CAPEX</t>
  </si>
  <si>
    <t>Distillery Expansion (250 KLPD Upgrade)</t>
  </si>
  <si>
    <t>150 KLPD addition to existing 100 KLPD distillery; entire investment reflected in CWIP additions for FY25. Project under implementation.</t>
  </si>
  <si>
    <t>Sugar Factory &amp; Infrastructure</t>
  </si>
  <si>
    <t>Regular capex in the existing 11,000 TCD sugar unit; no new sugar plant construction or greenfield project recognised in FY25.</t>
  </si>
  <si>
    <t>Power Co-generation (36.4 MW existing)</t>
  </si>
  <si>
    <t>No expansion of co-gen capacity; only routine enhancements/overhauls embedded within PPE additions.</t>
  </si>
  <si>
    <t>REPLACEMENT &amp; MAINTENANCE CAPEX</t>
  </si>
  <si>
    <t>Replacement &amp; Maintenance Capex</t>
  </si>
  <si>
    <t>Additions to factory buildings, plant &amp; machinery, office equipment, furniture &amp; fixtures; represents ongoing upkeep and operational reliability improvements.</t>
  </si>
  <si>
    <t>Miscellaneous Assets (Office, Vehicles, etc.)</t>
  </si>
  <si>
    <t>Minor additions to administrative assets; no new vehicles added in FY25.</t>
  </si>
  <si>
    <t>TECHNOLOGY &amp; R&amp;D INVESTMENT</t>
  </si>
  <si>
    <t>Technology/Process Improvements</t>
  </si>
  <si>
    <t>Small-scale technology upgrades related to plant reliability, energy efficiency, and process optimisation; reflected primarily in plant &amp; machinery additions.</t>
  </si>
  <si>
    <t>TOTAL CAPEX</t>
  </si>
  <si>
    <t>TOTAL CAPITAL EXPENDITURE (FY25)</t>
  </si>
  <si>
    <t>FY25 total capex = PPE additions (₹593.65 lakh) + CWIP additions (₹7,671.41 lakh) = ₹8,265.06 lakh.</t>
  </si>
  <si>
    <t>No investment in CapEx related to diversification and intangible assets. There are NO exports, partnerships, joint-ventures etc.</t>
  </si>
  <si>
    <t>BUSINESS SEGMENT INVESTMENT ANALYSIS</t>
  </si>
  <si>
    <t>Business Segment</t>
  </si>
  <si>
    <t>Segment Assets (Rs. Lakhs)</t>
  </si>
  <si>
    <t>% of Total Assets</t>
  </si>
  <si>
    <t>Investment Type</t>
  </si>
  <si>
    <t>Sugar</t>
  </si>
  <si>
    <t>Existing facility maintenance</t>
  </si>
  <si>
    <t>Distillery</t>
  </si>
  <si>
    <t>Expansion (New 150 KLPD)</t>
  </si>
  <si>
    <t>Co-generation</t>
  </si>
  <si>
    <t>Bagasse-based power plant</t>
  </si>
  <si>
    <t>Vinegar Unit</t>
  </si>
  <si>
    <t>Byproduct processing</t>
  </si>
  <si>
    <t>IML (IMFL)</t>
  </si>
  <si>
    <t>Alcohol manufacturing</t>
  </si>
  <si>
    <t>Unallocable</t>
  </si>
  <si>
    <t>Common infrastructure</t>
  </si>
  <si>
    <t>Total Assets</t>
  </si>
  <si>
    <t xml:space="preserve">Total Assets (in lakh rs) = </t>
  </si>
  <si>
    <t>ASSET COMPOSITION AND GROWTH ANALYSIS</t>
  </si>
  <si>
    <t>Asset Category</t>
  </si>
  <si>
    <t>FY 2023-24 Gross (in lakh rs)</t>
  </si>
  <si>
    <t>FY 2024-25 Gross (in lakh rs)</t>
  </si>
  <si>
    <t>Net Book Value (FY 25)</t>
  </si>
  <si>
    <t>Factory Buildings</t>
  </si>
  <si>
    <t>Other Buildings</t>
  </si>
  <si>
    <t>Plant &amp; Equipment</t>
  </si>
  <si>
    <t>TOTAL PP&amp;E</t>
  </si>
  <si>
    <t>Capital WIP</t>
  </si>
  <si>
    <t>GRAND TOTAL</t>
  </si>
  <si>
    <t>Growth wrt sales</t>
  </si>
  <si>
    <t>FY</t>
  </si>
  <si>
    <t>Total Capital Investment (Rs. Lakhs)</t>
  </si>
  <si>
    <t>Net Sales (Rs. Lakhs)</t>
  </si>
  <si>
    <t>EBITDA Margin (%)</t>
  </si>
  <si>
    <t>2023-24</t>
  </si>
  <si>
    <t>2024-25</t>
  </si>
  <si>
    <t>II. Working Capital Aalysis</t>
  </si>
  <si>
    <t>Particulars</t>
  </si>
  <si>
    <t>FY 2024–25 (lakh rs)</t>
  </si>
  <si>
    <t>FY 2023–24</t>
  </si>
  <si>
    <t>Current Assets</t>
  </si>
  <si>
    <t>Current Liabilities</t>
  </si>
  <si>
    <t>Working Capital</t>
  </si>
  <si>
    <t>Negative working capital means current liabilities &gt; current assets, which is typical in the sugar industry (high creditor support + inventory financing).</t>
  </si>
  <si>
    <t>The company’s net working capital remains negative but improving, moving from about Rs. -3,305 Lakhs in FY 2023‑24 to about Rs. -2,995 Lakhs in FY 2024‑25 as current liabilities continue to exceed current assets while the gap narrows slightly.</t>
  </si>
  <si>
    <t>FUNDING FOR WORKING CAPITAL</t>
  </si>
  <si>
    <t>Source Category</t>
  </si>
  <si>
    <t>FY 2024-25 (Rs. Lakhs)</t>
  </si>
  <si>
    <t>FY 2023-24 (Rs. Lakhs)</t>
  </si>
  <si>
    <t>Change (Rs. Lakhs)</t>
  </si>
  <si>
    <t>FY 2024-25%</t>
  </si>
  <si>
    <t>FY 2023-24%</t>
  </si>
  <si>
    <t>Operating Cash Flow</t>
  </si>
  <si>
    <t>Long-Term Debt Financing</t>
  </si>
  <si>
    <t>Short-Term Debt Financing</t>
  </si>
  <si>
    <t>Trade Credit</t>
  </si>
  <si>
    <t>Customer &amp; Advance Financing</t>
  </si>
  <si>
    <t>Equity Financing</t>
  </si>
  <si>
    <t>TOTAL</t>
  </si>
  <si>
    <t>The company predominantly fulfils its working capital needs through external financing, mainly short‑term working capital borrowings (cash credit and current maturities of term loans), supplemented by long‑term borrowings, trade payables, customer deposits/advances, and a smaller contribution from operating cash flows in FY 2024‑25.</t>
  </si>
  <si>
    <t>CURRENT ASSETS (24-25)</t>
  </si>
  <si>
    <t>Component</t>
  </si>
  <si>
    <t>Amount (Rs. Lakhs)</t>
  </si>
  <si>
    <t>% of Total</t>
  </si>
  <si>
    <t>Inventories</t>
  </si>
  <si>
    <t>Trade Receivables</t>
  </si>
  <si>
    <t>Cash &amp; Cash Equivalents</t>
  </si>
  <si>
    <t>Other Current Assets</t>
  </si>
  <si>
    <t>Other Bank Balances</t>
  </si>
  <si>
    <t>Other Financial Assets</t>
  </si>
  <si>
    <t>Total Current Assets</t>
  </si>
  <si>
    <t>On the asset side, the major components of working capital are inventories (around 70% of current assets), followed by other current assets (advances, statutory balances) and trade receivables, with cash and bank balances forming only a small portion of total current assets.</t>
  </si>
  <si>
    <t>CURRENT LIABILITIES(24-25)</t>
  </si>
  <si>
    <t>Current Borrowings</t>
  </si>
  <si>
    <t>Trade Payables</t>
  </si>
  <si>
    <t>Other Financial Liabilities</t>
  </si>
  <si>
    <t>Other Current Liabilities</t>
  </si>
  <si>
    <t>Current Provisions</t>
  </si>
  <si>
    <t>Total Current Liabilities</t>
  </si>
  <si>
    <t>On the liability side, the dominant working capital components are current borrowings (working capital loans and current maturities of term loans), trade payables, and other financial liabilities (deposits and advances), which together form the bulk of current liabilities and drive the negative working capital position.</t>
  </si>
  <si>
    <t>III. Capital Structure</t>
  </si>
  <si>
    <t>Quarter End</t>
  </si>
  <si>
    <t>Equity Share Capital</t>
  </si>
  <si>
    <t>Other Equity</t>
  </si>
  <si>
    <t>Total Equity</t>
  </si>
  <si>
    <t>Non-Current Borrowings</t>
  </si>
  <si>
    <t>Total Borrowings (Debt)</t>
  </si>
  <si>
    <t>Debt to Equity</t>
  </si>
  <si>
    <t>FY 2023-24 Observations:</t>
  </si>
  <si>
    <t>Quarterly Volatility: D/E ratio ranged from 1.03x (Sep-23, lowest) to 1.39x (Mar-23, highest), showing significant seasonal variation</t>
  </si>
  <si>
    <t>Equity Decline in H1: Total equity fell from Rs. 25,560 Lakhs (Mar-23) to Rs. 23,690 Lakhs (Sep-23), -7.3% decline due to operational losses</t>
  </si>
  <si>
    <t>Debt Reduction Strategy: Debt fell from Rs. 35,559 Lakhs to Rs. 24,422 Lakhs (-31.2%) by Sep-23, indicating deliberate deleveraging in off-season</t>
  </si>
  <si>
    <t>Year-End Rebuilding: Both equity (+13.2% vs Sep-23) and debt (+49.6% vs Sep-23) rebuilt by Mar-24, reflecting seasonal crush season requirements</t>
  </si>
  <si>
    <t>Working Capital Spike: Current debt surged to Rs. 29,086 Lakhs at year-end, representing working capital facility drawdown for crush operations</t>
  </si>
  <si>
    <t>FY 2024-25 Observations:</t>
  </si>
  <si>
    <t>Equity Growth: Total equity increased from Rs. 25,100 Lakhs (Jun-24) to Rs. 28,048 Lakhs (Mar-25), +11.8% growth through QIP and retained earnings</t>
  </si>
  <si>
    <t>Dramatic Long-Term Debt Increase: Non-current debt surged from Rs. 8,334 Lakhs (Jun-24) to Rs. 18,011 Lakhs (Dec-24), +116% increase, driven by distillery expansion project financing</t>
  </si>
  <si>
    <t>Controlled Leverage in H1-H2: Despite LT debt spike, D/E ratio remained well-controlled at 1.16x-1.20x through Sep-Dec, below year-end baseline</t>
  </si>
  <si>
    <t>Year-End Working Capital Drawdown: Current borrowings jumped from Rs. 14,496 Lakhs (Dec-24) to Rs. 26,568 Lakhs (Mar-25), +83%, reflecting seasonal crush season peak</t>
  </si>
  <si>
    <t>Long-Term Debt Normalization: Non-current debt fell from Rs. 18,011 Lakhs (Dec-24) to Rs. 12,484 Lakhs (Mar-25), suggesting partial project completion/capitalization</t>
  </si>
  <si>
    <t>Metric</t>
  </si>
  <si>
    <t>Mar-24 (FY23-24 End)</t>
  </si>
  <si>
    <t>Mar-25 (FY24-25 End)</t>
  </si>
  <si>
    <t>Non-Current Debt</t>
  </si>
  <si>
    <t>Current Debt</t>
  </si>
  <si>
    <t>Total Debt</t>
  </si>
  <si>
    <t>D/E Ratio</t>
  </si>
  <si>
    <t>Debt %</t>
  </si>
  <si>
    <t>Equity%</t>
  </si>
  <si>
    <t>Key Shifts:</t>
  </si>
  <si>
    <t>Equity Strengthening: 4.5% growth through QIP (Rs. 5,399 Lakhs gross proceeds) and retained earnings, despite operational losses</t>
  </si>
  <si>
    <t>Strategic Long-Term Borrowing: 67.2% surge in non-current debt, entirely project-linked for Rs. 125 Crores distillery expansion (BDCC Bank consortium)</t>
  </si>
  <si>
    <t>Working Capital Optimization: Current borrowings fell 8.7% YoY, largely because production dropped sharply (–35.5%), resulting in lower inventory financing needs. This appears as a reduction in WC debt, but it is driven by operational contraction, not optimization.</t>
  </si>
  <si>
    <t>Stable Leverage: Although debt increased by ₹2,500 lakh, the D/E ratio rose only 2.2% because the equity base expanded due to QIP infusion. Leverage remained stable, masking the underlying increase in absolute borrowings.</t>
  </si>
  <si>
    <t>Debt Composition Shift: Long-term debt now 32% of total (vs 20% previously), improving debt maturity profile and reducing refinancing risk</t>
  </si>
  <si>
    <t>Funding Sources Deployed (FY 2024-25 - Rs. Lakhs):</t>
  </si>
  <si>
    <t>Funding Source</t>
  </si>
  <si>
    <t>Amount</t>
  </si>
  <si>
    <t>Type</t>
  </si>
  <si>
    <t>Status</t>
  </si>
  <si>
    <t>Equity Dilution (QIP)</t>
  </si>
  <si>
    <t>Equity</t>
  </si>
  <si>
    <t>Balance sheet strengthening, strategic capital</t>
  </si>
  <si>
    <t xml:space="preserve"> Completed Nov-24</t>
  </si>
  <si>
    <t>Long-Term Debt (BDCC Consortium)</t>
  </si>
  <si>
    <t>~5,000 (FY25 drawdown)</t>
  </si>
  <si>
    <t>Debt</t>
  </si>
  <si>
    <t>Distillery expansion project financing</t>
  </si>
  <si>
    <t xml:space="preserve"> Ongoing</t>
  </si>
  <si>
    <t>Internal</t>
  </si>
  <si>
    <t>Operational needs, interest service, maintenance CapEx</t>
  </si>
  <si>
    <t>Generated</t>
  </si>
  <si>
    <t>Current Debt (WC Facilities)</t>
  </si>
  <si>
    <t>Maintained ~26,500-30,000</t>
  </si>
  <si>
    <t>Seasonal working capital for crushing operations</t>
  </si>
  <si>
    <t xml:space="preserve"> Available</t>
  </si>
  <si>
    <t>Working-Capital Change</t>
  </si>
  <si>
    <t>Reduced WC needs due to lower production</t>
  </si>
  <si>
    <t>Achieved</t>
  </si>
  <si>
    <t>Total Funding Available in FY25: ~Rs. 17,953 Lakhs</t>
  </si>
  <si>
    <t>Investment Requirements vs Funding Deployment:</t>
  </si>
  <si>
    <t>Requirement</t>
  </si>
  <si>
    <t>Amount (Lakhs)</t>
  </si>
  <si>
    <t>Funded By</t>
  </si>
  <si>
    <t>Adequacy</t>
  </si>
  <si>
    <t>Analysis</t>
  </si>
  <si>
    <t>Distillery Expansion CapEx</t>
  </si>
  <si>
    <t>LT Debt (67%), Equity (20%), OCF (13%)</t>
  </si>
  <si>
    <t>Adequate</t>
  </si>
  <si>
    <t>BDCC loan covers 90%+ project cost; company provides 10%</t>
  </si>
  <si>
    <t>Maintenance CapEx</t>
  </si>
  <si>
    <t>~4,000</t>
  </si>
  <si>
    <t>Operating CF</t>
  </si>
  <si>
    <t>Rs. 5,036 OCF covers maintenance needs</t>
  </si>
  <si>
    <t>Interest Payments</t>
  </si>
  <si>
    <t>Operating CF (primarily)</t>
  </si>
  <si>
    <t>Marginal</t>
  </si>
  <si>
    <t>OCF sufficient to cover but tight</t>
  </si>
  <si>
    <t>Perpetual</t>
  </si>
  <si>
    <t>WC Facilities (Rs. 26,500 Lakhs)</t>
  </si>
  <si>
    <t>Facilities renewed annually; optimized during off-season</t>
  </si>
  <si>
    <t>Debt Repayment</t>
  </si>
  <si>
    <t>~2,000-3,000</t>
  </si>
  <si>
    <t>OCF + Asset sales</t>
  </si>
  <si>
    <t>Inadequate</t>
  </si>
  <si>
    <t>Primary source through project completion returns</t>
  </si>
  <si>
    <t>Is the company generating enough operating cash flow to fulfill CapEx and other requirements?</t>
  </si>
  <si>
    <t>Assessment</t>
  </si>
  <si>
    <t>Rs. 26,829 Lakhs</t>
  </si>
  <si>
    <t>Rs. 28,048 Lakhs</t>
  </si>
  <si>
    <t>Growth</t>
  </si>
  <si>
    <t>Rs. 36,552 Lakhs</t>
  </si>
  <si>
    <t>Rs. 39,052 Lakhs</t>
  </si>
  <si>
    <t>1.36x</t>
  </si>
  <si>
    <t>1.39x</t>
  </si>
  <si>
    <t>Higher leverage</t>
  </si>
  <si>
    <t>Rs. 14,574 Lakhs</t>
  </si>
  <si>
    <t>Rs. 5,036 Lakhs</t>
  </si>
  <si>
    <t>CRITICAL DECLINE</t>
  </si>
  <si>
    <t>Capital Expenditure</t>
  </si>
  <si>
    <t>Rs. 12,588 Lakhs</t>
  </si>
  <si>
    <t>Rs. 8,265 Lakhs</t>
  </si>
  <si>
    <t>Reduced</t>
  </si>
  <si>
    <t>Free Cash Flow</t>
  </si>
  <si>
    <t>Rs. 1,986 Lakhs</t>
  </si>
  <si>
    <t>Rs. -3,229 Lakhs</t>
  </si>
  <si>
    <t>Negative</t>
  </si>
  <si>
    <t>DEFICIT</t>
  </si>
  <si>
    <t>Interest Coverage Ratio</t>
  </si>
  <si>
    <t>2.25x</t>
  </si>
  <si>
    <t>0.56x</t>
  </si>
  <si>
    <t>CRITICAL</t>
  </si>
  <si>
    <t>OCF Coverage (CapEx + Interest)</t>
  </si>
  <si>
    <t>-50.1pp</t>
  </si>
  <si>
    <t>INADEQUATE</t>
  </si>
  <si>
    <t>Net Profit/Loss</t>
  </si>
  <si>
    <t>Rs. 14.5 Lakhs</t>
  </si>
  <si>
    <t>Rs. -37.02 Lakhs</t>
  </si>
  <si>
    <t>Loss</t>
  </si>
  <si>
    <t>Profitability crisis</t>
  </si>
  <si>
    <r>
      <rPr>
        <sz val="12"/>
        <color rgb="FF000000"/>
        <rFont val="Arial"/>
        <family val="2"/>
      </rPr>
      <t>The analysis clearly indicates that</t>
    </r>
    <r>
      <rPr>
        <b/>
        <sz val="12"/>
        <color rgb="FF000000"/>
        <rFont val="Arial"/>
        <family val="2"/>
      </rPr>
      <t xml:space="preserve"> operating cash flow is insufficient to meet the company’s funding requirements.</t>
    </r>
    <r>
      <rPr>
        <sz val="12"/>
        <color rgb="FF000000"/>
        <rFont val="Arial"/>
        <family val="2"/>
      </rPr>
      <t xml:space="preserve"> OCF fell sharply by 65% in FY25, declining from ₹14,574 lakhs to ₹5,036 lakhs, which pushed the company into a position where </t>
    </r>
    <r>
      <rPr>
        <b/>
        <sz val="12"/>
        <color rgb="FF000000"/>
        <rFont val="Arial"/>
        <family val="2"/>
      </rPr>
      <t>free cash flow turned negative</t>
    </r>
    <r>
      <rPr>
        <sz val="12"/>
        <color rgb="FF000000"/>
        <rFont val="Arial"/>
        <family val="2"/>
      </rPr>
      <t xml:space="preserve">, as CapEx substantially exceeded internal cash generation. During the year, </t>
    </r>
    <r>
      <rPr>
        <b/>
        <sz val="12"/>
        <color rgb="FF000000"/>
        <rFont val="Arial"/>
        <family val="2"/>
      </rPr>
      <t>OCF could fund only 61% of CapEx,</t>
    </r>
    <r>
      <rPr>
        <sz val="12"/>
        <color rgb="FF000000"/>
        <rFont val="Arial"/>
        <family val="2"/>
      </rPr>
      <t xml:space="preserve"> forcing the firm to rely on external financing. When interest costs are included,</t>
    </r>
    <r>
      <rPr>
        <b/>
        <sz val="12"/>
        <color rgb="FF000000"/>
        <rFont val="Arial"/>
        <family val="2"/>
      </rPr>
      <t xml:space="preserve"> OCF covered merely 43% of total obligations</t>
    </r>
    <r>
      <rPr>
        <sz val="12"/>
        <color rgb="FF000000"/>
        <rFont val="Arial"/>
        <family val="2"/>
      </rPr>
      <t xml:space="preserve">, creating a sizeable funding gap. This liquidity strain is further reflected in the </t>
    </r>
    <r>
      <rPr>
        <b/>
        <sz val="12"/>
        <color rgb="FF000000"/>
        <rFont val="Arial"/>
        <family val="2"/>
      </rPr>
      <t>collapse of the interest coverage ratio to 0.56x,</t>
    </r>
    <r>
      <rPr>
        <sz val="12"/>
        <color rgb="FF000000"/>
        <rFont val="Arial"/>
        <family val="2"/>
      </rPr>
      <t xml:space="preserve"> signaling critical stress in the company’s ability to service debt from operations. The firm also posted a </t>
    </r>
    <r>
      <rPr>
        <b/>
        <sz val="12"/>
        <color rgb="FF000000"/>
        <rFont val="Arial"/>
        <family val="2"/>
      </rPr>
      <t xml:space="preserve">net loss in FY25 </t>
    </r>
    <r>
      <rPr>
        <sz val="12"/>
        <color rgb="FF000000"/>
        <rFont val="Arial"/>
        <family val="2"/>
      </rPr>
      <t xml:space="preserve">alongside a </t>
    </r>
    <r>
      <rPr>
        <b/>
        <sz val="12"/>
        <color rgb="FF000000"/>
        <rFont val="Arial"/>
        <family val="2"/>
      </rPr>
      <t>steep drop in EBITDA,</t>
    </r>
    <r>
      <rPr>
        <sz val="12"/>
        <color rgb="FF000000"/>
        <rFont val="Arial"/>
        <family val="2"/>
      </rPr>
      <t xml:space="preserve"> increasing pressure on internal resources. As a result, dependence on debt and equity infusion intensified, and the company had to rely on working capital adjustments to navigate short-term cash shortfalls. Overall, the </t>
    </r>
    <r>
      <rPr>
        <b/>
        <sz val="12"/>
        <color rgb="FF000000"/>
        <rFont val="Arial"/>
        <family val="2"/>
      </rPr>
      <t>business is not self-sustaining on operating cash flow, and financial sustainability will remain at risk unless the expanded distillery capacity begins generating meaningful incremental returns</t>
    </r>
    <r>
      <rPr>
        <sz val="12"/>
        <color rgb="FF000000"/>
        <rFont val="Arial"/>
        <family val="2"/>
      </rPr>
      <t>.</t>
    </r>
  </si>
  <si>
    <t>IV. Cost of Capital &amp; Intrinsic Value Analysis</t>
  </si>
  <si>
    <t>A. COST OF EQUITY (Ke) ESTIMATION - CAPM MODEL</t>
  </si>
  <si>
    <t>CAPM Model: Ke = Rf + β(Rm - Rf)</t>
  </si>
  <si>
    <t>Value</t>
  </si>
  <si>
    <t>Source/Justification</t>
  </si>
  <si>
    <t>Risk-Free Rate (Rf)</t>
  </si>
  <si>
    <t>India 10-year Government Securities (GSec) yield, Nov 2025</t>
  </si>
  <si>
    <t>Expected Market Return (Rm)</t>
  </si>
  <si>
    <t>Historical equity market return in India; long-term average 12-14%</t>
  </si>
  <si>
    <t>Market Risk Premium (MRP)</t>
  </si>
  <si>
    <t>Rm - Rf = 13.0% - 6.9% = 6.1%</t>
  </si>
  <si>
    <t>The company's beta reflects multiple risk dimensions:</t>
  </si>
  <si>
    <t>Industry Beta (Unlevered): 0.6 - Unlevered Beta of companies from the same sector is between 0.45-0.7 .</t>
  </si>
  <si>
    <t>Leverage Adjustment:</t>
  </si>
  <si>
    <t>Debt-to-Equity Ratio: 1.39x</t>
  </si>
  <si>
    <r>
      <rPr>
        <b/>
        <sz val="12"/>
        <color rgb="FF000000"/>
        <rFont val="Arial"/>
        <family val="2"/>
      </rPr>
      <t>Tax Rate Assumption:</t>
    </r>
    <r>
      <rPr>
        <sz val="12"/>
        <color rgb="FF000000"/>
        <rFont val="Arial"/>
        <family val="2"/>
      </rPr>
      <t xml:space="preserve"> A tax rate of 0% has been applied in the valuation model because the company has reported negative taxable income for consecutive years, resulting in no cash tax outflows and the availability of accumulated losses and unabsorbed depreciation to offset future taxable profits in the near term.</t>
    </r>
  </si>
  <si>
    <t>Levered Beta = 1.0 × [1 + (1 - Tax Rate) × D/E]</t>
  </si>
  <si>
    <t>Levered Beta = 0.6 × (1 + 1.39) = 1.43x</t>
  </si>
  <si>
    <t>Cost of Equity Calculation:</t>
  </si>
  <si>
    <t>Ke = 6.9% + 1.43 × 6.1%</t>
  </si>
  <si>
    <t>Ke = 6.9% + 8.72%</t>
  </si>
  <si>
    <t>Ke = 15.62%</t>
  </si>
  <si>
    <t>B. COST OF DEBT (Kd) ESTIMATION</t>
  </si>
  <si>
    <t>Item</t>
  </si>
  <si>
    <t>Interest Expense (FY25)</t>
  </si>
  <si>
    <t>Total Debt (Current + Non-current)</t>
  </si>
  <si>
    <t>Effective Kd</t>
  </si>
  <si>
    <t>After-Tax Cost of Debt:</t>
  </si>
  <si>
    <t>Kd(after-tax) = 8.78% × (1 - Tax Rate)</t>
  </si>
  <si>
    <t>Tax Rate: 0% (no income tax paid in FY25, deferred tax only)</t>
  </si>
  <si>
    <t>Kd(after-tax) = 8.78%</t>
  </si>
  <si>
    <t>C. WEIGHTED AVERAGE COST OF CAPITAL (WACC)</t>
  </si>
  <si>
    <t>Price of share (End of FY24-25) (rs/share)</t>
  </si>
  <si>
    <t>No of shares (in lakhs</t>
  </si>
  <si>
    <t>Weight</t>
  </si>
  <si>
    <t>Market Value of Equity (E)</t>
  </si>
  <si>
    <t>Book Value of Debt (D)</t>
  </si>
  <si>
    <t>Total Capital (E+D)</t>
  </si>
  <si>
    <r>
      <rPr>
        <b/>
        <sz val="12"/>
        <color rgb="FF000000"/>
        <rFont val="Arial"/>
        <family val="2"/>
      </rPr>
      <t>ASSUMPTION</t>
    </r>
    <r>
      <rPr>
        <sz val="12"/>
        <color rgb="FF000000"/>
        <rFont val="Arial"/>
        <family val="2"/>
      </rPr>
      <t>: We have considered the book value of debt for this case due to unavailability of the market value.</t>
    </r>
  </si>
  <si>
    <t>WACC Calculation:</t>
  </si>
  <si>
    <t>Weights</t>
  </si>
  <si>
    <t>Rate (Cost)</t>
  </si>
  <si>
    <t>k * W</t>
  </si>
  <si>
    <t>WACC</t>
  </si>
  <si>
    <t>WACC=(0.3053×15.62%)+(0.6947×8.78%)</t>
  </si>
  <si>
    <t>WACC= 4.769% + 6.099%</t>
  </si>
  <si>
    <t>WACC = 10.868%</t>
  </si>
  <si>
    <t>This WACC of 10.868% reflects:</t>
  </si>
  <si>
    <t>High cost of equity (15.62%) due to distressed company profile</t>
  </si>
  <si>
    <t>Moderate cost of debt (8.78%)</t>
  </si>
  <si>
    <t>High capital structure weight on debt (69.47%) – company is heavily leveraged with market value of equity less than market value of debt</t>
  </si>
  <si>
    <t>Calculation of Intrinsic Value</t>
  </si>
  <si>
    <t>BASE CASE</t>
  </si>
  <si>
    <t>1. Identify Required Inputs From Annual Report</t>
  </si>
  <si>
    <t>A. Operating Cash Flow (FY25)</t>
  </si>
  <si>
    <t>From Cash Flow Statement:</t>
  </si>
  <si>
    <t>Net Cash from Operating Activities (CFO FY25) = ₹5,035.79 lakh</t>
  </si>
  <si>
    <t>B. Capital Expenditure (FY25)</t>
  </si>
  <si>
    <t>Purchase of Fixed Assets (Capex FY25) = ₹8,265.06 lakh</t>
  </si>
  <si>
    <t>C. Net FCFF for FY25</t>
  </si>
  <si>
    <t>Free Cash Flow to Firm (FCFF):</t>
  </si>
  <si>
    <t>FCFF = OCF - CAPEX</t>
  </si>
  <si>
    <r>
      <rPr>
        <b/>
        <sz val="12"/>
        <color theme="1"/>
        <rFont val="Verdana"/>
        <family val="2"/>
      </rPr>
      <t>ASSUMPTION :</t>
    </r>
    <r>
      <rPr>
        <sz val="12"/>
        <color theme="1"/>
        <rFont val="Verdana"/>
        <family val="2"/>
      </rPr>
      <t xml:space="preserve"> Working capital changes are not added separately because the Free Cash Flow calculation is based on Net Cash from Operating Activities (CFO), which already incorporates all working-capital movements. Including ΔWC again would result in double counting.</t>
    </r>
  </si>
  <si>
    <t>FCFF(FY25)  5035.79 - 8265.06 = -3229.27 lakh</t>
  </si>
  <si>
    <t>Negative because the company is in heavy expansion (250 KLPD distillery project).</t>
  </si>
  <si>
    <t>2. Forward FCFF Projection (Conservative)</t>
  </si>
  <si>
    <t>Year</t>
  </si>
  <si>
    <t>EBIT</t>
  </si>
  <si>
    <t>Depreciation</t>
  </si>
  <si>
    <t>CapEx</t>
  </si>
  <si>
    <t>ΔWC</t>
  </si>
  <si>
    <t>FCFF</t>
  </si>
  <si>
    <t>FY26</t>
  </si>
  <si>
    <t>FY27</t>
  </si>
  <si>
    <t>FY28</t>
  </si>
  <si>
    <t>FY29</t>
  </si>
  <si>
    <t>FY30</t>
  </si>
  <si>
    <t>Assumptions for FCFF Forecasting:
The projections for Revenue, EBITDA, Depreciation, Working Capital, and Capital Expenditure are based on a detailed analysis of the company’s historical performance over FY22–FY25 using the annual reports. Since revenue in FY25 declined sharply due to a 2.1 lakh MT cane shortage, FY25 is treated as a cyclical low rather than a structural deterioration. With the commissioning of the 250 KLPD distillery serving as a major growth catalyst from FY26 onward, revenue growth has been assumed at 12%, 10%, 8%, 7%, and 6% for FY26–FY30 respectively.
EBITDA margins are assumed to improve gradually from 9% to 11%, reflecting the higher and more stable profitability of the distillery division relative to the sugar segment. Depreciation is projected to rise steadily in line with the capitalization of the new distillery assets.
Working capital requirements have been assumed at 12% of revenue, consistent with historical trends in inventory and receivables. Capital expenditure includes one final year of expansion-related spending in FY26 (₹6,000 lakh), after which CapEx reverts to maintenance levels. Based on these assumptions and applying the standard FCFF formulation, the company is expected to report negative FCFF in FY26, followed by positive and strengthening FCFF from FY27 onward.</t>
  </si>
  <si>
    <t>3. Discount FCFF to Present Value</t>
  </si>
  <si>
    <t>PV=FCFF(t)/((1+0.1086)^t)</t>
  </si>
  <si>
    <t>PV factor</t>
  </si>
  <si>
    <t>PV (₹ lakh)</t>
  </si>
  <si>
    <t>Sum of PV(FCFF)</t>
  </si>
  <si>
    <t>4. Terminal Value Using Gordon Growth</t>
  </si>
  <si>
    <t>Assume long-term growth rate: g = 4%</t>
  </si>
  <si>
    <t>TV = FCFF(FY30) * (1+g) / (WACC-g)</t>
  </si>
  <si>
    <t>TV = 4087 * 1.04 / (.1086 - 0.04)</t>
  </si>
  <si>
    <t>TV = 61960.35 lakhs</t>
  </si>
  <si>
    <t>Present Value of Terminal Value</t>
  </si>
  <si>
    <t>PV(TV)=61960.35×0.5972080164=37003.22 lakh</t>
  </si>
  <si>
    <t>5. Enterprise Value (DCF Output)</t>
  </si>
  <si>
    <t>EV=PV(FCFF 1−5)+PV(TV)</t>
  </si>
  <si>
    <t>EV=7759.93+37003.22=44763.15 lakh</t>
  </si>
  <si>
    <t>6. Equity Value From Enterprise Value</t>
  </si>
  <si>
    <t>Equity Value=EV−Debt+Cash =44763.15−39,051.87+959.33 =6670.61 lakh</t>
  </si>
  <si>
    <t>7. Intrinsic Value Per Share</t>
  </si>
  <si>
    <t>Shares outstanding (from report):</t>
  </si>
  <si>
    <t>21.78277 crore shares = 2178.277 lakh shares</t>
  </si>
  <si>
    <t>Value per share = 6670.61 / 2178.27</t>
  </si>
  <si>
    <t>Price = ₹3.06 per share</t>
  </si>
  <si>
    <t>DCF Equity Value</t>
  </si>
  <si>
    <t>₹6670.61 lakh</t>
  </si>
  <si>
    <t>Intrinsic Value per Share</t>
  </si>
  <si>
    <t>₹3.06</t>
  </si>
  <si>
    <t>Current Market Price</t>
  </si>
  <si>
    <t>~₹7–9</t>
  </si>
  <si>
    <t>Valuation</t>
  </si>
  <si>
    <t>129% overvalued</t>
  </si>
  <si>
    <t>PESSIMISTIC CASE</t>
  </si>
  <si>
    <r>
      <rPr>
        <b/>
        <sz val="12"/>
        <color theme="1"/>
        <rFont val="Verdana"/>
        <family val="2"/>
      </rPr>
      <t>ASSUMPTION :</t>
    </r>
    <r>
      <rPr>
        <sz val="12"/>
        <color theme="1"/>
        <rFont val="Verdana"/>
        <family val="2"/>
      </rPr>
      <t xml:space="preserve"> Working capital changes are not added separately because the Free Cash Flow calculation is based on Net Cash from Operating Activities (CFO), which already incorporates all working-capital movements. Including ΔWC again would result in double counting.</t>
    </r>
  </si>
  <si>
    <t>Assume long-term growth rate: g = 3%</t>
  </si>
  <si>
    <t>TV = 2587 * 1.03 / (.1086 - 0.03)</t>
  </si>
  <si>
    <t>TV = 33900.89 lakhs</t>
  </si>
  <si>
    <t>PV(TV)=33900.89×0.5972080164=20245.88 lakh</t>
  </si>
  <si>
    <t>EV=3421.35+20245.88=23667.23 lakh</t>
  </si>
  <si>
    <t>Equity Value=EV−Debt+Cash =23667.23−39,051.87+959.33 =-14425.31 lakh</t>
  </si>
  <si>
    <t>the firm’s operating cash flows are insufficient to cover its capital structure, and therefore the intrinsic value of equity is effectively zero.</t>
  </si>
  <si>
    <t>-₹14425.31 lakh</t>
  </si>
  <si>
    <t>Undervaluation</t>
  </si>
  <si>
    <t>overvalued</t>
  </si>
  <si>
    <t>OPTIMISTIC CASE</t>
  </si>
  <si>
    <t>From Cash Flow Statement (Page 68):</t>
  </si>
  <si>
    <t>FCFF(FY25) 5035.79 - 8265.06 = -3229.27 lakh</t>
  </si>
  <si>
    <t>2. Forward FCFF Projection</t>
  </si>
  <si>
    <t>Projected FCFF</t>
  </si>
  <si>
    <t>Projected FCFF (₹ lakh)</t>
  </si>
  <si>
    <t>Basis</t>
  </si>
  <si>
    <t>Partial recovery</t>
  </si>
  <si>
    <t>Distillery reaches stable output</t>
  </si>
  <si>
    <t>Higher-margin ethanol</t>
  </si>
  <si>
    <t>Normal operations</t>
  </si>
  <si>
    <t>Steady-state terminal year</t>
  </si>
  <si>
    <t>SUm of PV(FCFF)</t>
  </si>
  <si>
    <t>TV = 7500 * 1.04 / (.1096 - 0.04)</t>
  </si>
  <si>
    <t>TV = 112068.97 lakhs</t>
  </si>
  <si>
    <t>PV(TV)=112068.97×0.5972080164 =66927.59 lakh</t>
  </si>
  <si>
    <t>EV=18982.91+66927.59 =85910.5 lakh</t>
  </si>
  <si>
    <t>Equity Value=EV−Debt+Cash =85910.5 −39,051.87+959.33 =47817.96 lakh</t>
  </si>
  <si>
    <t>Value per share = 47817.96 / 2178.27</t>
  </si>
  <si>
    <t>Price = ₹21.95 per share</t>
  </si>
  <si>
    <t>₹47817.96 lakh</t>
  </si>
  <si>
    <t>₹21.95</t>
  </si>
  <si>
    <t>~274% undervalued</t>
  </si>
  <si>
    <t>Scenario</t>
  </si>
  <si>
    <t>Equity Value (₹ lakh)</t>
  </si>
  <si>
    <t>Intrinsic Value per Share (₹)</t>
  </si>
  <si>
    <t>Current Market Price (₹7–9)</t>
  </si>
  <si>
    <t>Interpretation</t>
  </si>
  <si>
    <t>Pessimistic Case</t>
  </si>
  <si>
    <t>–14,425</t>
  </si>
  <si>
    <t>7–9</t>
  </si>
  <si>
    <t>Equity completely wiped out; firm over-leveraged</t>
  </si>
  <si>
    <t>Base Case (Your Main Case)</t>
  </si>
  <si>
    <t>Stock is ~129% overvalued</t>
  </si>
  <si>
    <t>Optimistic Case</t>
  </si>
  <si>
    <t>Stock is undervalued only under aggressive assumptions</t>
  </si>
  <si>
    <t>Based on the discounted cash flow valuation under three scenarios—pessimistic, base case, and optimistic—the intrinsic value of Vishwaraj Sugar Industries Ltd. varies significantly depending on assumptions regarding revenue recovery, distillery ramp-up, and capital efficiency. The base-case intrinsic value of the stock is ₹3.06 per share, which is substantially lower than the prevailing market price of ₹7–9, implying that the share is materially overvalued under realistic assumptions. The pessimistic case indicates a zero equity value, reflecting the company’s elevated leverage and insufficient operating cash flows. Only under highly optimistic assumptions, involving strong distillery performance and sustained margin expansion, does the intrinsic value rise to ₹17–18 per share. Therefore, the valuation suggests that the current market price embeds optimistic expectations, and the stock appears overvalued under conservative and base-case scenarios.</t>
  </si>
  <si>
    <t>REFERENCES</t>
  </si>
  <si>
    <t>Vishwaraj Sugar Industries — Official Website</t>
  </si>
  <si>
    <t>http://www.vsil.in</t>
  </si>
  <si>
    <t>Vishwaraj Sugar Industries — Annual Report 2023–24 (PDF)</t>
  </si>
  <si>
    <t>http://www.vsil.in/pdf/annual_report_2024.pdf</t>
  </si>
  <si>
    <t>Vishwaraj Sugar Industries — Investor Relations / Financials</t>
  </si>
  <si>
    <t>http://www.vsil.in/investorrelations.php</t>
  </si>
  <si>
    <t>Vishwaraj Sugar Industries — Screener Page</t>
  </si>
  <si>
    <t>https://www.screener.in/company/VSIL/</t>
  </si>
  <si>
    <t>Vishwaraj Sugar Industries — IPO Review (Chittorgarh)</t>
  </si>
  <si>
    <t>https://www.chittorgarh.com/ipo/vishwaraj-ipo/101/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</si>
</sst>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yy"/>
    <numFmt numFmtId="165" formatCode="dd\-mmm\-yyyy"/>
    <numFmt numFmtId="166" formatCode="mmm\-yyyy"/>
  </numFmts>
  <fonts count="40">
    <font>
      <sz val="10"/>
      <color rgb="FF000000"/>
      <name val="Verdana"/>
      <scheme val="minor"/>
    </font>
    <font>
      <b/>
      <i/>
      <sz val="18"/>
      <color theme="1"/>
      <name val="Verdana"/>
      <family val="2"/>
    </font>
    <font>
      <sz val="10"/>
      <name val="Verdana"/>
      <family val="2"/>
    </font>
    <font>
      <sz val="10"/>
      <color theme="1"/>
      <name val="Verdana"/>
      <family val="2"/>
      <scheme val="minor"/>
    </font>
    <font>
      <b/>
      <i/>
      <sz val="15"/>
      <color theme="1"/>
      <name val="Verdana"/>
      <family val="2"/>
    </font>
    <font>
      <sz val="10"/>
      <color theme="1"/>
      <name val="Arial"/>
      <family val="2"/>
    </font>
    <font>
      <sz val="15"/>
      <color theme="1"/>
      <name val="Verdana"/>
      <family val="2"/>
    </font>
    <font>
      <b/>
      <sz val="15"/>
      <color theme="1"/>
      <name val="Verdana"/>
      <family val="2"/>
    </font>
    <font>
      <b/>
      <i/>
      <sz val="14"/>
      <color rgb="FF000000"/>
      <name val="Verdana"/>
      <family val="2"/>
    </font>
    <font>
      <b/>
      <sz val="12"/>
      <color rgb="FF000000"/>
      <name val="Verdana"/>
      <family val="2"/>
    </font>
    <font>
      <sz val="12"/>
      <color rgb="FF000000"/>
      <name val="Verdana"/>
      <family val="2"/>
    </font>
    <font>
      <sz val="10"/>
      <color rgb="FF000000"/>
      <name val="Verdana"/>
      <family val="2"/>
    </font>
    <font>
      <b/>
      <i/>
      <sz val="12"/>
      <color rgb="FF000000"/>
      <name val="Verdana"/>
      <family val="2"/>
    </font>
    <font>
      <sz val="11"/>
      <color rgb="FF000000"/>
      <name val="Verdana"/>
      <family val="2"/>
    </font>
    <font>
      <sz val="12"/>
      <color theme="1"/>
      <name val="Verdana"/>
      <family val="2"/>
    </font>
    <font>
      <b/>
      <sz val="14"/>
      <color rgb="FF000000"/>
      <name val="Verdana"/>
      <family val="2"/>
    </font>
    <font>
      <sz val="14"/>
      <color rgb="FF000000"/>
      <name val="Verdana"/>
      <family val="2"/>
    </font>
    <font>
      <b/>
      <sz val="12"/>
      <color theme="1"/>
      <name val="Verdana"/>
      <family val="2"/>
      <scheme val="minor"/>
    </font>
    <font>
      <sz val="12"/>
      <color theme="1"/>
      <name val="Verdana"/>
      <family val="2"/>
      <scheme val="minor"/>
    </font>
    <font>
      <b/>
      <sz val="10"/>
      <color theme="1"/>
      <name val="Verdana"/>
      <family val="2"/>
      <scheme val="minor"/>
    </font>
    <font>
      <b/>
      <i/>
      <sz val="12"/>
      <color theme="1"/>
      <name val="Verdana"/>
      <family val="2"/>
      <scheme val="minor"/>
    </font>
    <font>
      <sz val="12"/>
      <color rgb="FF000000"/>
      <name val="Arial"/>
      <family val="2"/>
    </font>
    <font>
      <sz val="12"/>
      <color rgb="FF000000"/>
      <name val="Verdana"/>
      <family val="2"/>
      <scheme val="minor"/>
    </font>
    <font>
      <b/>
      <sz val="12"/>
      <color rgb="FF000000"/>
      <name val="Arial"/>
      <family val="2"/>
    </font>
    <font>
      <b/>
      <sz val="12"/>
      <color rgb="FF000000"/>
      <name val="FkGrotesk"/>
    </font>
    <font>
      <b/>
      <sz val="12"/>
      <color rgb="FF000000"/>
      <name val="Verdana"/>
      <family val="2"/>
      <scheme val="minor"/>
    </font>
    <font>
      <b/>
      <i/>
      <sz val="12"/>
      <color rgb="FF000000"/>
      <name val="Verdana"/>
      <family val="2"/>
      <scheme val="minor"/>
    </font>
    <font>
      <sz val="12"/>
      <color rgb="FF000000"/>
      <name val="FkGroteskNeue"/>
    </font>
    <font>
      <b/>
      <sz val="12"/>
      <color rgb="FF000000"/>
      <name val="FkGroteskNeue"/>
    </font>
    <font>
      <b/>
      <i/>
      <sz val="12"/>
      <color rgb="FF000000"/>
      <name val="Arial"/>
      <family val="2"/>
    </font>
    <font>
      <sz val="12"/>
      <color rgb="FF000000"/>
      <name val="FkGrotesk"/>
    </font>
    <font>
      <b/>
      <i/>
      <sz val="12"/>
      <color rgb="FF000000"/>
      <name val="FkGroteskNeue"/>
    </font>
    <font>
      <b/>
      <i/>
      <sz val="12"/>
      <color theme="1"/>
      <name val="Verdana"/>
      <family val="2"/>
    </font>
    <font>
      <b/>
      <sz val="12"/>
      <color theme="1"/>
      <name val="Verdana"/>
      <family val="2"/>
    </font>
    <font>
      <b/>
      <sz val="12"/>
      <color theme="1"/>
      <name val="Arial"/>
      <family val="2"/>
    </font>
    <font>
      <b/>
      <i/>
      <sz val="12"/>
      <color rgb="FF1A1A1A"/>
      <name val="Verdana"/>
      <family val="2"/>
    </font>
    <font>
      <sz val="12"/>
      <color rgb="FF1A1A1A"/>
      <name val="Verdana"/>
      <family val="2"/>
    </font>
    <font>
      <b/>
      <sz val="12"/>
      <color rgb="FF1A1A1A"/>
      <name val="Verdana"/>
      <family val="2"/>
    </font>
    <font>
      <b/>
      <i/>
      <sz val="10"/>
      <color theme="1"/>
      <name val="Verdana"/>
      <family val="2"/>
      <scheme val="minor"/>
    </font>
    <font>
      <u/>
      <sz val="10"/>
      <color rgb="FF0000FF"/>
      <name val="Verdana"/>
      <family val="2"/>
    </font>
  </fonts>
  <fills count="11">
    <fill>
      <patternFill patternType="none"/>
    </fill>
    <fill>
      <patternFill patternType="gray125"/>
    </fill>
    <fill>
      <patternFill patternType="solid">
        <fgColor rgb="FF5B95F9"/>
        <bgColor rgb="FF5B95F9"/>
      </patternFill>
    </fill>
    <fill>
      <patternFill patternType="solid">
        <fgColor rgb="FFFFFFFF"/>
        <bgColor rgb="FFFFFFFF"/>
      </patternFill>
    </fill>
    <fill>
      <patternFill patternType="solid">
        <fgColor rgb="FF999999"/>
        <bgColor rgb="FF999999"/>
      </patternFill>
    </fill>
    <fill>
      <patternFill patternType="solid">
        <fgColor theme="8"/>
        <bgColor theme="8"/>
      </patternFill>
    </fill>
    <fill>
      <patternFill patternType="solid">
        <fgColor rgb="FFACC9FE"/>
        <bgColor rgb="FFACC9FE"/>
      </patternFill>
    </fill>
    <fill>
      <patternFill patternType="solid">
        <fgColor rgb="FFB7B7B7"/>
        <bgColor rgb="FFB7B7B7"/>
      </patternFill>
    </fill>
    <fill>
      <patternFill patternType="solid">
        <fgColor theme="0"/>
        <bgColor theme="0"/>
      </patternFill>
    </fill>
    <fill>
      <patternFill patternType="solid">
        <fgColor rgb="FFE8F0FE"/>
        <bgColor rgb="FFE8F0FE"/>
      </patternFill>
    </fill>
    <fill>
      <patternFill patternType="solid">
        <fgColor theme="9"/>
        <bgColor theme="9"/>
      </patternFill>
    </fill>
  </fills>
  <borders count="43">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thick">
        <color rgb="FF000000"/>
      </right>
      <top/>
      <bottom style="medium">
        <color rgb="FF000000"/>
      </bottom>
      <diagonal/>
    </border>
    <border>
      <left style="thick">
        <color rgb="FF000000"/>
      </left>
      <right/>
      <top/>
      <bottom/>
      <diagonal/>
    </border>
    <border>
      <left/>
      <right style="thick">
        <color rgb="FF000000"/>
      </right>
      <top/>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bottom style="medium">
        <color rgb="FF000000"/>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style="medium">
        <color rgb="FF000000"/>
      </right>
      <top/>
      <bottom style="thick">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medium">
        <color rgb="FF000000"/>
      </right>
      <top/>
      <bottom style="thin">
        <color rgb="FF000000"/>
      </bottom>
      <diagonal/>
    </border>
  </borders>
  <cellStyleXfs count="1">
    <xf numFmtId="0" fontId="0" fillId="0" borderId="0"/>
  </cellStyleXfs>
  <cellXfs count="235">
    <xf numFmtId="0" fontId="0" fillId="0" borderId="0" xfId="0"/>
    <xf numFmtId="0" fontId="3" fillId="3" borderId="0" xfId="0" applyFont="1" applyFill="1"/>
    <xf numFmtId="0" fontId="3" fillId="3" borderId="0" xfId="0" applyFont="1" applyFill="1" applyAlignment="1">
      <alignment horizontal="center" vertical="center" wrapText="1"/>
    </xf>
    <xf numFmtId="0" fontId="8" fillId="3" borderId="18"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18" xfId="0" applyFont="1" applyFill="1" applyBorder="1" applyAlignment="1">
      <alignment horizontal="center" wrapText="1"/>
    </xf>
    <xf numFmtId="0" fontId="8" fillId="3" borderId="0" xfId="0" applyFont="1" applyFill="1" applyAlignment="1">
      <alignment horizontal="center" wrapText="1"/>
    </xf>
    <xf numFmtId="0" fontId="9" fillId="8" borderId="0" xfId="0" applyFont="1" applyFill="1" applyAlignment="1">
      <alignment horizontal="center" vertical="center" wrapText="1"/>
    </xf>
    <xf numFmtId="0" fontId="9" fillId="3" borderId="18" xfId="0" applyFont="1" applyFill="1" applyBorder="1" applyAlignment="1">
      <alignment horizontal="center" vertical="center" wrapText="1"/>
    </xf>
    <xf numFmtId="0" fontId="9" fillId="3" borderId="0" xfId="0" applyFont="1" applyFill="1" applyAlignment="1">
      <alignment horizontal="center" vertical="center" wrapText="1"/>
    </xf>
    <xf numFmtId="0" fontId="10" fillId="3" borderId="18" xfId="0" applyFont="1" applyFill="1" applyBorder="1" applyAlignment="1">
      <alignment horizontal="center" vertical="center" wrapText="1"/>
    </xf>
    <xf numFmtId="0" fontId="10" fillId="3" borderId="0" xfId="0" applyFont="1" applyFill="1" applyAlignment="1">
      <alignment horizontal="center" vertical="center" wrapText="1"/>
    </xf>
    <xf numFmtId="0" fontId="11" fillId="3" borderId="18" xfId="0" applyFont="1" applyFill="1" applyBorder="1" applyAlignment="1">
      <alignment horizontal="center" vertical="center" wrapText="1"/>
    </xf>
    <xf numFmtId="0" fontId="11" fillId="3" borderId="0" xfId="0" applyFont="1" applyFill="1" applyAlignment="1">
      <alignment horizontal="center" vertical="center" wrapText="1"/>
    </xf>
    <xf numFmtId="0" fontId="11" fillId="8" borderId="0" xfId="0" applyFont="1" applyFill="1" applyAlignment="1">
      <alignment horizontal="center" vertical="center" wrapText="1"/>
    </xf>
    <xf numFmtId="0" fontId="12" fillId="9" borderId="22"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12" fillId="3" borderId="0" xfId="0" applyFont="1" applyFill="1" applyAlignment="1">
      <alignment horizontal="center" vertical="center" wrapText="1"/>
    </xf>
    <xf numFmtId="0" fontId="10" fillId="8" borderId="22" xfId="0" applyFont="1" applyFill="1" applyBorder="1" applyAlignment="1">
      <alignment horizontal="center" vertical="center" wrapText="1"/>
    </xf>
    <xf numFmtId="0" fontId="13" fillId="8" borderId="22"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7" borderId="0" xfId="0" applyFont="1" applyFill="1" applyAlignment="1">
      <alignment horizontal="center" vertical="center" wrapText="1"/>
    </xf>
    <xf numFmtId="0" fontId="11" fillId="4" borderId="0" xfId="0" applyFont="1" applyFill="1" applyAlignment="1">
      <alignment horizontal="center" vertical="center" wrapText="1"/>
    </xf>
    <xf numFmtId="0" fontId="3" fillId="3" borderId="18" xfId="0" applyFont="1" applyFill="1" applyBorder="1"/>
    <xf numFmtId="0" fontId="13" fillId="8" borderId="0" xfId="0" applyFont="1" applyFill="1" applyAlignment="1">
      <alignment horizontal="center" vertical="center" wrapText="1"/>
    </xf>
    <xf numFmtId="0" fontId="3" fillId="3" borderId="20" xfId="0" applyFont="1" applyFill="1" applyBorder="1"/>
    <xf numFmtId="0" fontId="18" fillId="8" borderId="0" xfId="0" applyFont="1" applyFill="1" applyAlignment="1">
      <alignment horizontal="center" vertical="center" wrapText="1"/>
    </xf>
    <xf numFmtId="0" fontId="17" fillId="8" borderId="0" xfId="0" applyFont="1" applyFill="1" applyAlignment="1">
      <alignment horizontal="center" vertical="center" wrapText="1"/>
    </xf>
    <xf numFmtId="0" fontId="18" fillId="8" borderId="22" xfId="0" applyFont="1" applyFill="1" applyBorder="1" applyAlignment="1">
      <alignment horizontal="center" vertical="center" wrapText="1"/>
    </xf>
    <xf numFmtId="0" fontId="19" fillId="4" borderId="22" xfId="0" applyFont="1" applyFill="1" applyBorder="1" applyAlignment="1">
      <alignment horizontal="center" vertical="center" wrapText="1"/>
    </xf>
    <xf numFmtId="0" fontId="19" fillId="0" borderId="0" xfId="0" applyFont="1" applyAlignment="1">
      <alignment horizontal="center"/>
    </xf>
    <xf numFmtId="0" fontId="3" fillId="4" borderId="22" xfId="0" applyFont="1" applyFill="1" applyBorder="1" applyAlignment="1">
      <alignment horizontal="center" vertical="center" wrapText="1"/>
    </xf>
    <xf numFmtId="0" fontId="17" fillId="4" borderId="0" xfId="0" applyFont="1" applyFill="1" applyAlignment="1">
      <alignment horizontal="center" vertical="center" wrapText="1"/>
    </xf>
    <xf numFmtId="10" fontId="18" fillId="8" borderId="22" xfId="0" applyNumberFormat="1"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7" fillId="9" borderId="22" xfId="0" applyFont="1" applyFill="1" applyBorder="1" applyAlignment="1">
      <alignment horizontal="center" vertical="center" wrapText="1"/>
    </xf>
    <xf numFmtId="0" fontId="12" fillId="8" borderId="0" xfId="0" applyFont="1" applyFill="1" applyAlignment="1">
      <alignment horizontal="center" vertical="center" wrapText="1"/>
    </xf>
    <xf numFmtId="0" fontId="21" fillId="8" borderId="0" xfId="0" applyFont="1" applyFill="1" applyAlignment="1">
      <alignment horizontal="center" vertical="center" wrapText="1"/>
    </xf>
    <xf numFmtId="0" fontId="22" fillId="8" borderId="0" xfId="0" applyFont="1" applyFill="1" applyAlignment="1">
      <alignment horizontal="center" vertical="center" wrapText="1"/>
    </xf>
    <xf numFmtId="0" fontId="22" fillId="8" borderId="27" xfId="0" applyFont="1" applyFill="1" applyBorder="1" applyAlignment="1">
      <alignment horizontal="center" vertical="center" wrapText="1"/>
    </xf>
    <xf numFmtId="0" fontId="23" fillId="9" borderId="22" xfId="0" applyFont="1" applyFill="1" applyBorder="1" applyAlignment="1">
      <alignment horizontal="center" vertical="center" wrapText="1"/>
    </xf>
    <xf numFmtId="4" fontId="21" fillId="8" borderId="22" xfId="0" applyNumberFormat="1" applyFont="1" applyFill="1" applyBorder="1" applyAlignment="1">
      <alignment horizontal="center" vertical="center" wrapText="1"/>
    </xf>
    <xf numFmtId="10" fontId="21" fillId="8" borderId="22" xfId="0" applyNumberFormat="1" applyFont="1" applyFill="1" applyBorder="1" applyAlignment="1">
      <alignment horizontal="center" vertical="center" wrapText="1"/>
    </xf>
    <xf numFmtId="0" fontId="21" fillId="8" borderId="22" xfId="0" applyFont="1" applyFill="1" applyBorder="1" applyAlignment="1">
      <alignment horizontal="center" vertical="center" wrapText="1"/>
    </xf>
    <xf numFmtId="4" fontId="23" fillId="8" borderId="22" xfId="0" applyNumberFormat="1" applyFont="1" applyFill="1" applyBorder="1" applyAlignment="1">
      <alignment horizontal="center" vertical="center" wrapText="1"/>
    </xf>
    <xf numFmtId="10" fontId="23" fillId="8" borderId="22" xfId="0" applyNumberFormat="1" applyFont="1" applyFill="1" applyBorder="1" applyAlignment="1">
      <alignment horizontal="center" vertical="center" wrapText="1"/>
    </xf>
    <xf numFmtId="0" fontId="25" fillId="8" borderId="5" xfId="0" applyFont="1" applyFill="1" applyBorder="1" applyAlignment="1">
      <alignment horizontal="center" vertical="center" wrapText="1"/>
    </xf>
    <xf numFmtId="0" fontId="25" fillId="8" borderId="17" xfId="0" applyFont="1" applyFill="1" applyBorder="1" applyAlignment="1">
      <alignment horizontal="center" vertical="center" wrapText="1"/>
    </xf>
    <xf numFmtId="0" fontId="25" fillId="8" borderId="0" xfId="0" applyFont="1" applyFill="1" applyAlignment="1">
      <alignment horizontal="center" vertical="center" wrapText="1"/>
    </xf>
    <xf numFmtId="0" fontId="23" fillId="8" borderId="22" xfId="0" applyFont="1" applyFill="1" applyBorder="1" applyAlignment="1">
      <alignment horizontal="center" vertical="center" wrapText="1"/>
    </xf>
    <xf numFmtId="0" fontId="27" fillId="8" borderId="0" xfId="0" applyFont="1" applyFill="1" applyAlignment="1">
      <alignment horizontal="center" vertical="center" wrapText="1"/>
    </xf>
    <xf numFmtId="0" fontId="25" fillId="9" borderId="22" xfId="0" applyFont="1" applyFill="1" applyBorder="1" applyAlignment="1">
      <alignment horizontal="center" vertical="center" wrapText="1"/>
    </xf>
    <xf numFmtId="166" fontId="22" fillId="8" borderId="22" xfId="0" applyNumberFormat="1" applyFont="1" applyFill="1" applyBorder="1" applyAlignment="1">
      <alignment horizontal="center" vertical="center" wrapText="1"/>
    </xf>
    <xf numFmtId="4" fontId="22" fillId="8" borderId="22" xfId="0" applyNumberFormat="1" applyFont="1" applyFill="1" applyBorder="1" applyAlignment="1">
      <alignment horizontal="center" vertical="center" wrapText="1"/>
    </xf>
    <xf numFmtId="3" fontId="21" fillId="8" borderId="22" xfId="0" applyNumberFormat="1" applyFont="1" applyFill="1" applyBorder="1" applyAlignment="1">
      <alignment horizontal="center" vertical="center" wrapText="1"/>
    </xf>
    <xf numFmtId="0" fontId="30" fillId="8" borderId="0" xfId="0" applyFont="1" applyFill="1" applyAlignment="1">
      <alignment horizontal="center" vertical="center" wrapText="1"/>
    </xf>
    <xf numFmtId="0" fontId="22" fillId="8" borderId="22" xfId="0" applyFont="1" applyFill="1" applyBorder="1" applyAlignment="1">
      <alignment horizontal="center" vertical="center" wrapText="1"/>
    </xf>
    <xf numFmtId="9" fontId="23" fillId="8" borderId="22" xfId="0" applyNumberFormat="1" applyFont="1" applyFill="1" applyBorder="1" applyAlignment="1">
      <alignment horizontal="center" vertical="center" wrapText="1"/>
    </xf>
    <xf numFmtId="0" fontId="21" fillId="8" borderId="27" xfId="0" applyFont="1" applyFill="1" applyBorder="1" applyAlignment="1">
      <alignment horizontal="center" vertical="center" wrapText="1"/>
    </xf>
    <xf numFmtId="0" fontId="14" fillId="8" borderId="0" xfId="0" applyFont="1" applyFill="1" applyAlignment="1">
      <alignment horizontal="center" vertical="center" wrapText="1"/>
    </xf>
    <xf numFmtId="0" fontId="33" fillId="8" borderId="27" xfId="0" applyFont="1" applyFill="1" applyBorder="1" applyAlignment="1">
      <alignment horizontal="center" vertical="center" wrapText="1"/>
    </xf>
    <xf numFmtId="0" fontId="18" fillId="4" borderId="22" xfId="0" applyFont="1" applyFill="1" applyBorder="1" applyAlignment="1">
      <alignment horizontal="center" vertical="center" wrapText="1"/>
    </xf>
    <xf numFmtId="3" fontId="18" fillId="4" borderId="22" xfId="0" applyNumberFormat="1" applyFont="1" applyFill="1" applyBorder="1" applyAlignment="1">
      <alignment horizontal="center" vertical="center" wrapText="1"/>
    </xf>
    <xf numFmtId="0" fontId="14" fillId="8" borderId="27" xfId="0" applyFont="1" applyFill="1" applyBorder="1" applyAlignment="1">
      <alignment horizontal="center" vertical="center" wrapText="1"/>
    </xf>
    <xf numFmtId="0" fontId="14" fillId="8" borderId="15" xfId="0" applyFont="1" applyFill="1" applyBorder="1" applyAlignment="1">
      <alignment horizontal="center" vertical="center" wrapText="1"/>
    </xf>
    <xf numFmtId="0" fontId="14" fillId="8" borderId="31" xfId="0" applyFont="1" applyFill="1" applyBorder="1" applyAlignment="1">
      <alignment horizontal="center" vertical="center" wrapText="1"/>
    </xf>
    <xf numFmtId="0" fontId="36" fillId="4" borderId="0" xfId="0" applyFont="1" applyFill="1" applyAlignment="1">
      <alignment horizontal="center" vertical="center" wrapText="1"/>
    </xf>
    <xf numFmtId="0" fontId="36" fillId="4" borderId="27" xfId="0" applyFont="1" applyFill="1" applyBorder="1" applyAlignment="1">
      <alignment horizontal="center" vertical="center" wrapText="1"/>
    </xf>
    <xf numFmtId="0" fontId="36" fillId="4" borderId="41" xfId="0" applyFont="1" applyFill="1" applyBorder="1" applyAlignment="1">
      <alignment horizontal="center" vertical="center" wrapText="1"/>
    </xf>
    <xf numFmtId="0" fontId="36" fillId="4" borderId="42" xfId="0" applyFont="1" applyFill="1" applyBorder="1" applyAlignment="1">
      <alignment horizontal="center" vertical="center" wrapText="1"/>
    </xf>
    <xf numFmtId="0" fontId="18" fillId="4" borderId="0" xfId="0" applyFont="1" applyFill="1" applyAlignment="1">
      <alignment horizontal="center" vertical="center" wrapText="1"/>
    </xf>
    <xf numFmtId="0" fontId="18" fillId="4" borderId="27"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3" fillId="8" borderId="0" xfId="0" applyFont="1" applyFill="1" applyAlignment="1">
      <alignment horizontal="center"/>
    </xf>
    <xf numFmtId="0" fontId="39" fillId="8" borderId="0" xfId="0" applyFont="1" applyFill="1" applyAlignment="1">
      <alignment horizontal="center"/>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4" fillId="2" borderId="7" xfId="0" applyFont="1" applyFill="1" applyBorder="1" applyAlignment="1">
      <alignment horizontal="center" vertical="center" wrapText="1"/>
    </xf>
    <xf numFmtId="0" fontId="0" fillId="0" borderId="0" xfId="0"/>
    <xf numFmtId="0" fontId="2" fillId="0" borderId="7" xfId="0" applyFont="1" applyBorder="1"/>
    <xf numFmtId="0" fontId="4" fillId="2" borderId="0" xfId="0" applyFont="1" applyFill="1" applyAlignment="1">
      <alignment horizontal="center" vertical="center" wrapText="1"/>
    </xf>
    <xf numFmtId="0" fontId="2" fillId="0" borderId="8" xfId="0" applyFont="1" applyBorder="1"/>
    <xf numFmtId="0" fontId="5" fillId="4" borderId="7" xfId="0" applyFont="1" applyFill="1" applyBorder="1"/>
    <xf numFmtId="0" fontId="6" fillId="5" borderId="13" xfId="0" applyFont="1" applyFill="1" applyBorder="1" applyAlignment="1">
      <alignment horizontal="center" vertical="center" wrapText="1"/>
    </xf>
    <xf numFmtId="0" fontId="2" fillId="0" borderId="10" xfId="0" applyFont="1" applyBorder="1"/>
    <xf numFmtId="0" fontId="2" fillId="0" borderId="11" xfId="0" applyFont="1" applyBorder="1"/>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164" fontId="6" fillId="5" borderId="15" xfId="0" applyNumberFormat="1" applyFont="1" applyFill="1" applyBorder="1" applyAlignment="1">
      <alignment horizontal="center" vertical="center" wrapText="1"/>
    </xf>
    <xf numFmtId="0" fontId="2" fillId="0" borderId="15" xfId="0" applyFont="1" applyBorder="1"/>
    <xf numFmtId="0" fontId="2" fillId="0" borderId="16" xfId="0" applyFont="1" applyBorder="1"/>
    <xf numFmtId="0" fontId="4" fillId="4" borderId="0" xfId="0" applyFont="1" applyFill="1" applyAlignment="1">
      <alignment horizontal="center" vertical="center" wrapText="1"/>
    </xf>
    <xf numFmtId="0" fontId="4" fillId="5"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2" fillId="0" borderId="12" xfId="0" applyFont="1" applyBorder="1"/>
    <xf numFmtId="0" fontId="7" fillId="5" borderId="7"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9" fillId="9" borderId="26" xfId="0" applyFont="1" applyFill="1" applyBorder="1" applyAlignment="1">
      <alignment horizontal="center" vertical="center" wrapText="1"/>
    </xf>
    <xf numFmtId="0" fontId="2" fillId="2" borderId="5" xfId="0" applyFont="1" applyFill="1" applyBorder="1"/>
    <xf numFmtId="0" fontId="2" fillId="2" borderId="17" xfId="0" applyFont="1" applyFill="1" applyBorder="1"/>
    <xf numFmtId="0" fontId="10" fillId="8" borderId="23" xfId="0" applyFont="1" applyFill="1" applyBorder="1" applyAlignment="1">
      <alignment horizontal="center" vertical="center" wrapText="1"/>
    </xf>
    <xf numFmtId="0" fontId="2" fillId="4" borderId="25" xfId="0" applyFont="1" applyFill="1" applyBorder="1"/>
    <xf numFmtId="0" fontId="14" fillId="4" borderId="23" xfId="0" applyFont="1" applyFill="1" applyBorder="1" applyAlignment="1">
      <alignment horizontal="center" vertical="center" wrapText="1"/>
    </xf>
    <xf numFmtId="0" fontId="2" fillId="4" borderId="24" xfId="0" applyFont="1" applyFill="1" applyBorder="1"/>
    <xf numFmtId="0" fontId="11" fillId="8" borderId="0" xfId="0" applyFont="1" applyFill="1" applyAlignment="1">
      <alignment horizontal="center" vertical="center" wrapText="1"/>
    </xf>
    <xf numFmtId="0" fontId="9" fillId="9" borderId="23" xfId="0" applyFont="1" applyFill="1" applyBorder="1" applyAlignment="1">
      <alignment horizontal="center" vertical="center" wrapText="1"/>
    </xf>
    <xf numFmtId="0" fontId="2" fillId="7" borderId="24" xfId="0" applyFont="1" applyFill="1" applyBorder="1"/>
    <xf numFmtId="0" fontId="2" fillId="7" borderId="25" xfId="0" applyFont="1" applyFill="1" applyBorder="1"/>
    <xf numFmtId="0" fontId="10" fillId="8" borderId="13" xfId="0" applyFont="1" applyFill="1" applyBorder="1" applyAlignment="1">
      <alignment horizontal="center" vertical="center" wrapText="1"/>
    </xf>
    <xf numFmtId="0" fontId="2" fillId="7" borderId="10" xfId="0" applyFont="1" applyFill="1" applyBorder="1"/>
    <xf numFmtId="0" fontId="2" fillId="7" borderId="12" xfId="0" applyFont="1" applyFill="1" applyBorder="1"/>
    <xf numFmtId="0" fontId="14" fillId="8" borderId="23"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13" xfId="0" applyFont="1" applyFill="1" applyBorder="1" applyAlignment="1">
      <alignment horizontal="center" wrapText="1"/>
    </xf>
    <xf numFmtId="0" fontId="9" fillId="8" borderId="0" xfId="0" applyFont="1" applyFill="1" applyAlignment="1">
      <alignment horizontal="center" vertical="center" wrapText="1"/>
    </xf>
    <xf numFmtId="0" fontId="9" fillId="9" borderId="13" xfId="0" applyFont="1" applyFill="1" applyBorder="1" applyAlignment="1">
      <alignment horizontal="center" vertical="center" wrapText="1"/>
    </xf>
    <xf numFmtId="0" fontId="9" fillId="8" borderId="13" xfId="0" applyFont="1" applyFill="1" applyBorder="1" applyAlignment="1">
      <alignment horizontal="center" vertical="center" wrapText="1"/>
    </xf>
    <xf numFmtId="0" fontId="2" fillId="4" borderId="10" xfId="0" applyFont="1" applyFill="1" applyBorder="1"/>
    <xf numFmtId="0" fontId="2" fillId="4" borderId="12" xfId="0" applyFont="1" applyFill="1" applyBorder="1"/>
    <xf numFmtId="0" fontId="8" fillId="9" borderId="13" xfId="0" applyFont="1" applyFill="1" applyBorder="1" applyAlignment="1">
      <alignment horizontal="center" vertical="center" wrapText="1"/>
    </xf>
    <xf numFmtId="0" fontId="10" fillId="8" borderId="19" xfId="0" applyFont="1" applyFill="1" applyBorder="1" applyAlignment="1">
      <alignment horizontal="center" vertical="center" wrapText="1"/>
    </xf>
    <xf numFmtId="0" fontId="2" fillId="4" borderId="20" xfId="0" applyFont="1" applyFill="1" applyBorder="1"/>
    <xf numFmtId="0" fontId="2" fillId="4" borderId="21" xfId="0" applyFont="1" applyFill="1" applyBorder="1"/>
    <xf numFmtId="0" fontId="11" fillId="8" borderId="20" xfId="0" applyFont="1" applyFill="1" applyBorder="1" applyAlignment="1">
      <alignment horizontal="center" vertical="center" wrapText="1"/>
    </xf>
    <xf numFmtId="0" fontId="2" fillId="7" borderId="20" xfId="0" applyFont="1" applyFill="1" applyBorder="1"/>
    <xf numFmtId="0" fontId="15" fillId="9" borderId="13" xfId="0" applyFont="1" applyFill="1" applyBorder="1" applyAlignment="1">
      <alignment horizontal="center" vertical="center" wrapText="1"/>
    </xf>
    <xf numFmtId="0" fontId="16" fillId="8" borderId="13" xfId="0" applyFont="1" applyFill="1" applyBorder="1" applyAlignment="1">
      <alignment horizontal="center" vertical="center" wrapText="1"/>
    </xf>
    <xf numFmtId="0" fontId="17" fillId="9" borderId="13" xfId="0" applyFont="1" applyFill="1" applyBorder="1" applyAlignment="1">
      <alignment horizontal="center" vertical="center" wrapText="1"/>
    </xf>
    <xf numFmtId="0" fontId="18" fillId="8" borderId="13" xfId="0" applyFont="1" applyFill="1" applyBorder="1" applyAlignment="1">
      <alignment horizontal="center" vertical="center" wrapText="1"/>
    </xf>
    <xf numFmtId="0" fontId="18" fillId="8" borderId="0" xfId="0" applyFont="1" applyFill="1" applyAlignment="1">
      <alignment horizontal="center" vertical="center" wrapText="1"/>
    </xf>
    <xf numFmtId="0" fontId="17" fillId="8" borderId="13" xfId="0" applyFont="1" applyFill="1" applyBorder="1" applyAlignment="1">
      <alignment horizontal="center" vertical="center" wrapText="1"/>
    </xf>
    <xf numFmtId="0" fontId="18" fillId="8" borderId="5" xfId="0" applyFont="1" applyFill="1" applyBorder="1" applyAlignment="1">
      <alignment horizontal="center" vertical="center" wrapText="1"/>
    </xf>
    <xf numFmtId="0" fontId="20" fillId="6" borderId="19" xfId="0" applyFont="1" applyFill="1" applyBorder="1" applyAlignment="1">
      <alignment horizontal="center" vertical="center" wrapText="1"/>
    </xf>
    <xf numFmtId="0" fontId="2" fillId="0" borderId="20" xfId="0" applyFont="1" applyBorder="1"/>
    <xf numFmtId="0" fontId="2" fillId="0" borderId="21" xfId="0" applyFont="1" applyBorder="1"/>
    <xf numFmtId="0" fontId="2" fillId="0" borderId="26" xfId="0" applyFont="1" applyBorder="1"/>
    <xf numFmtId="0" fontId="2" fillId="0" borderId="17" xfId="0" applyFont="1" applyBorder="1"/>
    <xf numFmtId="0" fontId="8" fillId="6" borderId="13" xfId="0" applyFont="1" applyFill="1" applyBorder="1" applyAlignment="1">
      <alignment horizontal="center" vertical="center" wrapText="1"/>
    </xf>
    <xf numFmtId="0" fontId="2" fillId="2" borderId="10" xfId="0" applyFont="1" applyFill="1" applyBorder="1"/>
    <xf numFmtId="0" fontId="2" fillId="2" borderId="12" xfId="0" applyFont="1" applyFill="1" applyBorder="1"/>
    <xf numFmtId="0" fontId="17" fillId="8" borderId="5" xfId="0" applyFont="1" applyFill="1" applyBorder="1" applyAlignment="1">
      <alignment horizontal="center" vertical="center" wrapText="1"/>
    </xf>
    <xf numFmtId="164" fontId="18" fillId="8" borderId="13" xfId="0" applyNumberFormat="1" applyFont="1" applyFill="1" applyBorder="1" applyAlignment="1">
      <alignment horizontal="center" vertical="center" wrapText="1"/>
    </xf>
    <xf numFmtId="165" fontId="18" fillId="8" borderId="13" xfId="0" applyNumberFormat="1" applyFont="1" applyFill="1" applyBorder="1" applyAlignment="1">
      <alignment horizontal="center" vertical="center" wrapText="1"/>
    </xf>
    <xf numFmtId="0" fontId="18" fillId="8" borderId="19" xfId="0" applyFont="1" applyFill="1" applyBorder="1" applyAlignment="1">
      <alignment horizontal="center" vertical="center" wrapText="1"/>
    </xf>
    <xf numFmtId="0" fontId="17" fillId="8" borderId="0" xfId="0" applyFont="1" applyFill="1" applyAlignment="1">
      <alignment horizontal="center" vertical="center" wrapText="1"/>
    </xf>
    <xf numFmtId="0" fontId="21" fillId="8" borderId="13" xfId="0" applyFont="1" applyFill="1" applyBorder="1" applyAlignment="1">
      <alignment horizontal="center" vertical="center" wrapText="1"/>
    </xf>
    <xf numFmtId="0" fontId="23" fillId="9" borderId="0" xfId="0" applyFont="1" applyFill="1" applyAlignment="1">
      <alignment horizontal="center" vertical="center" wrapText="1"/>
    </xf>
    <xf numFmtId="0" fontId="2" fillId="0" borderId="27" xfId="0" applyFont="1" applyBorder="1"/>
    <xf numFmtId="0" fontId="28" fillId="9" borderId="13" xfId="0" applyFont="1" applyFill="1" applyBorder="1" applyAlignment="1">
      <alignment horizontal="center" vertical="center" wrapText="1"/>
    </xf>
    <xf numFmtId="0" fontId="23" fillId="9" borderId="13" xfId="0" applyFont="1" applyFill="1" applyBorder="1" applyAlignment="1">
      <alignment horizontal="center" vertical="center" wrapText="1"/>
    </xf>
    <xf numFmtId="0" fontId="26" fillId="9" borderId="13" xfId="0" applyFont="1" applyFill="1" applyBorder="1" applyAlignment="1">
      <alignment horizontal="center" vertical="center" wrapText="1"/>
    </xf>
    <xf numFmtId="10" fontId="21" fillId="8" borderId="13" xfId="0" applyNumberFormat="1" applyFont="1" applyFill="1" applyBorder="1" applyAlignment="1">
      <alignment horizontal="center" vertical="center" wrapText="1"/>
    </xf>
    <xf numFmtId="3" fontId="21" fillId="8" borderId="13" xfId="0" applyNumberFormat="1" applyFont="1" applyFill="1" applyBorder="1" applyAlignment="1">
      <alignment horizontal="center" vertical="center" wrapText="1"/>
    </xf>
    <xf numFmtId="0" fontId="27" fillId="8" borderId="0" xfId="0" applyFont="1" applyFill="1" applyAlignment="1">
      <alignment horizontal="center" vertical="center" wrapText="1"/>
    </xf>
    <xf numFmtId="0" fontId="26" fillId="10" borderId="0" xfId="0" applyFont="1" applyFill="1" applyAlignment="1">
      <alignment horizontal="center" vertical="center" wrapText="1"/>
    </xf>
    <xf numFmtId="0" fontId="24" fillId="9" borderId="0" xfId="0" applyFont="1" applyFill="1" applyAlignment="1">
      <alignment horizontal="center" vertical="center" wrapText="1"/>
    </xf>
    <xf numFmtId="0" fontId="29" fillId="8" borderId="0" xfId="0" applyFont="1" applyFill="1" applyAlignment="1">
      <alignment horizontal="center" vertical="center" wrapText="1"/>
    </xf>
    <xf numFmtId="0" fontId="21" fillId="8" borderId="0" xfId="0" applyFont="1" applyFill="1" applyAlignment="1">
      <alignment horizontal="center" vertical="center" wrapText="1"/>
    </xf>
    <xf numFmtId="0" fontId="28" fillId="9" borderId="0" xfId="0" applyFont="1" applyFill="1" applyAlignment="1">
      <alignment horizontal="center" vertical="center" wrapText="1"/>
    </xf>
    <xf numFmtId="0" fontId="28" fillId="8" borderId="0" xfId="0" applyFont="1" applyFill="1" applyAlignment="1">
      <alignment horizontal="center" vertical="center" wrapText="1"/>
    </xf>
    <xf numFmtId="0" fontId="23" fillId="8" borderId="0" xfId="0" applyFont="1" applyFill="1" applyAlignment="1">
      <alignment horizontal="center" vertical="center" wrapText="1"/>
    </xf>
    <xf numFmtId="0" fontId="23" fillId="8" borderId="13" xfId="0" applyFont="1" applyFill="1" applyBorder="1" applyAlignment="1">
      <alignment horizontal="center" vertical="center" wrapText="1"/>
    </xf>
    <xf numFmtId="4" fontId="21" fillId="8" borderId="13" xfId="0" applyNumberFormat="1" applyFont="1" applyFill="1" applyBorder="1" applyAlignment="1">
      <alignment horizontal="center" vertical="center" wrapText="1"/>
    </xf>
    <xf numFmtId="0" fontId="31" fillId="9" borderId="13" xfId="0" applyFont="1" applyFill="1" applyBorder="1" applyAlignment="1">
      <alignment horizontal="center" vertical="center" wrapText="1"/>
    </xf>
    <xf numFmtId="0" fontId="27" fillId="8" borderId="13" xfId="0" applyFont="1" applyFill="1" applyBorder="1" applyAlignment="1">
      <alignment horizontal="center" vertical="center" wrapText="1"/>
    </xf>
    <xf numFmtId="0" fontId="28" fillId="8" borderId="13" xfId="0" applyFont="1" applyFill="1" applyBorder="1" applyAlignment="1">
      <alignment horizontal="center" vertical="center" wrapText="1"/>
    </xf>
    <xf numFmtId="0" fontId="22" fillId="8" borderId="0" xfId="0" applyFont="1" applyFill="1" applyAlignment="1">
      <alignment horizontal="center" vertical="center" wrapText="1"/>
    </xf>
    <xf numFmtId="0" fontId="22" fillId="8" borderId="13" xfId="0" applyFont="1" applyFill="1" applyBorder="1" applyAlignment="1">
      <alignment horizontal="center" vertical="center" wrapText="1"/>
    </xf>
    <xf numFmtId="4" fontId="22" fillId="8" borderId="13" xfId="0" applyNumberFormat="1" applyFont="1" applyFill="1" applyBorder="1" applyAlignment="1">
      <alignment horizontal="center" vertical="center" wrapText="1"/>
    </xf>
    <xf numFmtId="0" fontId="12" fillId="6" borderId="13" xfId="0" applyFont="1" applyFill="1" applyBorder="1" applyAlignment="1">
      <alignment horizontal="center" vertical="center" wrapText="1"/>
    </xf>
    <xf numFmtId="0" fontId="12" fillId="6" borderId="0" xfId="0" applyFont="1" applyFill="1" applyAlignment="1">
      <alignment horizontal="center" vertical="center" wrapText="1"/>
    </xf>
    <xf numFmtId="0" fontId="2" fillId="4" borderId="27" xfId="0" applyFont="1" applyFill="1" applyBorder="1"/>
    <xf numFmtId="0" fontId="12" fillId="8" borderId="0" xfId="0" applyFont="1" applyFill="1" applyAlignment="1">
      <alignment horizontal="center" vertical="center" wrapText="1"/>
    </xf>
    <xf numFmtId="0" fontId="2" fillId="7" borderId="27" xfId="0" applyFont="1" applyFill="1" applyBorder="1"/>
    <xf numFmtId="0" fontId="12" fillId="10" borderId="0" xfId="0" applyFont="1" applyFill="1" applyAlignment="1">
      <alignment horizontal="center" vertical="center" wrapText="1"/>
    </xf>
    <xf numFmtId="0" fontId="24" fillId="8" borderId="0" xfId="0" applyFont="1" applyFill="1" applyAlignment="1">
      <alignment horizontal="center" vertical="center" wrapText="1"/>
    </xf>
    <xf numFmtId="0" fontId="25" fillId="9" borderId="13" xfId="0" applyFont="1" applyFill="1" applyBorder="1" applyAlignment="1">
      <alignment horizontal="center" vertical="center" wrapText="1"/>
    </xf>
    <xf numFmtId="4" fontId="23" fillId="8" borderId="13" xfId="0" applyNumberFormat="1" applyFont="1" applyFill="1" applyBorder="1" applyAlignment="1">
      <alignment horizontal="center" vertical="center" wrapText="1"/>
    </xf>
    <xf numFmtId="0" fontId="24" fillId="9" borderId="13" xfId="0" applyFont="1" applyFill="1" applyBorder="1" applyAlignment="1">
      <alignment horizontal="center" vertical="center" wrapText="1"/>
    </xf>
    <xf numFmtId="4" fontId="22" fillId="8" borderId="0" xfId="0" applyNumberFormat="1" applyFont="1" applyFill="1" applyAlignment="1">
      <alignment horizontal="center" vertical="center" wrapText="1"/>
    </xf>
    <xf numFmtId="0" fontId="25" fillId="9" borderId="26" xfId="0" applyFont="1" applyFill="1" applyBorder="1" applyAlignment="1">
      <alignment horizontal="center" vertical="center" wrapText="1"/>
    </xf>
    <xf numFmtId="0" fontId="32" fillId="9" borderId="0" xfId="0" applyFont="1" applyFill="1" applyAlignment="1">
      <alignment horizontal="center" vertical="center" wrapText="1"/>
    </xf>
    <xf numFmtId="0" fontId="32" fillId="8" borderId="0" xfId="0" applyFont="1" applyFill="1" applyAlignment="1">
      <alignment horizontal="center" vertical="center" wrapText="1"/>
    </xf>
    <xf numFmtId="0" fontId="14" fillId="8" borderId="0" xfId="0" applyFont="1" applyFill="1" applyAlignment="1">
      <alignment horizontal="center" vertical="center" wrapText="1"/>
    </xf>
    <xf numFmtId="0" fontId="33" fillId="8" borderId="0" xfId="0" applyFont="1" applyFill="1" applyAlignment="1">
      <alignment horizontal="center" vertical="center" wrapText="1"/>
    </xf>
    <xf numFmtId="0" fontId="34" fillId="8" borderId="0" xfId="0" applyFont="1" applyFill="1" applyAlignment="1">
      <alignment horizontal="center" vertical="center" wrapText="1"/>
    </xf>
    <xf numFmtId="0" fontId="14" fillId="8" borderId="13" xfId="0" applyFont="1" applyFill="1" applyBorder="1" applyAlignment="1">
      <alignment horizontal="center" vertical="center" wrapText="1"/>
    </xf>
    <xf numFmtId="0" fontId="33" fillId="8" borderId="28" xfId="0" applyFont="1" applyFill="1" applyBorder="1" applyAlignment="1">
      <alignment horizontal="center" vertical="center" wrapText="1"/>
    </xf>
    <xf numFmtId="0" fontId="2" fillId="0" borderId="29" xfId="0" applyFont="1" applyBorder="1"/>
    <xf numFmtId="0" fontId="2" fillId="0" borderId="30" xfId="0" applyFont="1" applyBorder="1"/>
    <xf numFmtId="0" fontId="33" fillId="9" borderId="13" xfId="0" applyFont="1" applyFill="1" applyBorder="1" applyAlignment="1">
      <alignment horizontal="center" vertical="center" wrapText="1"/>
    </xf>
    <xf numFmtId="3" fontId="14" fillId="8" borderId="13" xfId="0" applyNumberFormat="1" applyFont="1" applyFill="1" applyBorder="1" applyAlignment="1">
      <alignment horizontal="center" vertical="center" wrapText="1"/>
    </xf>
    <xf numFmtId="4" fontId="14" fillId="8" borderId="13" xfId="0" applyNumberFormat="1" applyFont="1" applyFill="1" applyBorder="1" applyAlignment="1">
      <alignment horizontal="center" vertical="center" wrapText="1"/>
    </xf>
    <xf numFmtId="0" fontId="33" fillId="8" borderId="13" xfId="0" applyFont="1" applyFill="1" applyBorder="1" applyAlignment="1">
      <alignment horizontal="center" vertical="center" wrapText="1"/>
    </xf>
    <xf numFmtId="4" fontId="33" fillId="8" borderId="13" xfId="0" applyNumberFormat="1" applyFont="1" applyFill="1" applyBorder="1" applyAlignment="1">
      <alignment horizontal="center" vertical="center" wrapText="1"/>
    </xf>
    <xf numFmtId="3" fontId="36" fillId="4" borderId="33" xfId="0" applyNumberFormat="1" applyFont="1" applyFill="1" applyBorder="1" applyAlignment="1">
      <alignment horizontal="center" vertical="center" wrapText="1"/>
    </xf>
    <xf numFmtId="0" fontId="2" fillId="0" borderId="34" xfId="0" applyFont="1" applyBorder="1"/>
    <xf numFmtId="0" fontId="36" fillId="4" borderId="33" xfId="0" applyFont="1" applyFill="1" applyBorder="1" applyAlignment="1">
      <alignment horizontal="center" vertical="center" wrapText="1"/>
    </xf>
    <xf numFmtId="0" fontId="2" fillId="0" borderId="33" xfId="0" applyFont="1" applyBorder="1"/>
    <xf numFmtId="0" fontId="37" fillId="9" borderId="32" xfId="0" applyFont="1" applyFill="1" applyBorder="1" applyAlignment="1">
      <alignment horizontal="center" vertical="center" wrapText="1"/>
    </xf>
    <xf numFmtId="0" fontId="36" fillId="4" borderId="32" xfId="0" applyFont="1" applyFill="1" applyBorder="1" applyAlignment="1">
      <alignment horizontal="center" vertical="center" wrapText="1"/>
    </xf>
    <xf numFmtId="0" fontId="2" fillId="0" borderId="35" xfId="0" applyFont="1" applyBorder="1"/>
    <xf numFmtId="0" fontId="35" fillId="9" borderId="0" xfId="0" applyFont="1" applyFill="1" applyAlignment="1">
      <alignment horizontal="center" vertical="center" wrapText="1"/>
    </xf>
    <xf numFmtId="0" fontId="36" fillId="4" borderId="0" xfId="0" applyFont="1" applyFill="1" applyAlignment="1">
      <alignment horizontal="center" vertical="center" wrapText="1"/>
    </xf>
    <xf numFmtId="0" fontId="36" fillId="4" borderId="36" xfId="0" applyFont="1" applyFill="1" applyBorder="1" applyAlignment="1">
      <alignment horizontal="center" vertical="center" wrapText="1"/>
    </xf>
    <xf numFmtId="0" fontId="2" fillId="0" borderId="37" xfId="0" applyFont="1" applyBorder="1"/>
    <xf numFmtId="3" fontId="36" fillId="4" borderId="38" xfId="0" applyNumberFormat="1" applyFont="1" applyFill="1" applyBorder="1" applyAlignment="1">
      <alignment horizontal="center" vertical="center" wrapText="1"/>
    </xf>
    <xf numFmtId="0" fontId="36" fillId="4" borderId="38" xfId="0" applyFont="1" applyFill="1" applyBorder="1" applyAlignment="1">
      <alignment horizontal="center" vertical="center" wrapText="1"/>
    </xf>
    <xf numFmtId="4" fontId="36" fillId="4" borderId="38" xfId="0" applyNumberFormat="1" applyFont="1" applyFill="1" applyBorder="1" applyAlignment="1">
      <alignment horizontal="center" vertical="center" wrapText="1"/>
    </xf>
    <xf numFmtId="0" fontId="2" fillId="0" borderId="39" xfId="0" applyFont="1" applyBorder="1"/>
    <xf numFmtId="0" fontId="36" fillId="4" borderId="28" xfId="0" applyFont="1" applyFill="1" applyBorder="1" applyAlignment="1">
      <alignment horizontal="center" vertical="center" wrapText="1"/>
    </xf>
    <xf numFmtId="0" fontId="37" fillId="9" borderId="36" xfId="0" applyFont="1" applyFill="1" applyBorder="1" applyAlignment="1">
      <alignment horizontal="center" vertical="center" wrapText="1"/>
    </xf>
    <xf numFmtId="0" fontId="37" fillId="9" borderId="38" xfId="0" applyFont="1" applyFill="1" applyBorder="1" applyAlignment="1">
      <alignment horizontal="center" vertical="center" wrapText="1"/>
    </xf>
    <xf numFmtId="0" fontId="37" fillId="4" borderId="0" xfId="0" applyFont="1" applyFill="1" applyAlignment="1">
      <alignment horizontal="center" vertical="center" wrapText="1"/>
    </xf>
    <xf numFmtId="0" fontId="36" fillId="4" borderId="29" xfId="0" applyFont="1" applyFill="1" applyBorder="1" applyAlignment="1">
      <alignment horizontal="center" vertical="center" wrapText="1"/>
    </xf>
    <xf numFmtId="0" fontId="2" fillId="0" borderId="40" xfId="0" applyFont="1" applyBorder="1"/>
    <xf numFmtId="4" fontId="36" fillId="4" borderId="29" xfId="0" applyNumberFormat="1" applyFont="1" applyFill="1" applyBorder="1" applyAlignment="1">
      <alignment horizontal="center" vertical="center" wrapText="1"/>
    </xf>
    <xf numFmtId="0" fontId="37" fillId="4" borderId="13" xfId="0" applyFont="1" applyFill="1" applyBorder="1" applyAlignment="1">
      <alignment horizontal="center" vertical="center" wrapText="1"/>
    </xf>
    <xf numFmtId="4" fontId="37" fillId="4" borderId="13" xfId="0" applyNumberFormat="1" applyFont="1" applyFill="1" applyBorder="1" applyAlignment="1">
      <alignment horizontal="center" vertical="center" wrapText="1"/>
    </xf>
    <xf numFmtId="3" fontId="37" fillId="9" borderId="33" xfId="0" applyNumberFormat="1" applyFont="1" applyFill="1" applyBorder="1" applyAlignment="1">
      <alignment horizontal="center" vertical="center" wrapText="1"/>
    </xf>
    <xf numFmtId="0" fontId="37" fillId="9" borderId="33" xfId="0" applyFont="1" applyFill="1" applyBorder="1" applyAlignment="1">
      <alignment horizontal="center" vertical="center" wrapText="1"/>
    </xf>
    <xf numFmtId="3" fontId="36" fillId="4" borderId="29" xfId="0" applyNumberFormat="1" applyFont="1" applyFill="1" applyBorder="1" applyAlignment="1">
      <alignment horizontal="center" vertical="center" wrapText="1"/>
    </xf>
    <xf numFmtId="0" fontId="35" fillId="4" borderId="0" xfId="0" applyFont="1" applyFill="1" applyAlignment="1">
      <alignment horizontal="center" vertical="center" wrapText="1"/>
    </xf>
    <xf numFmtId="0" fontId="18" fillId="4" borderId="13" xfId="0" applyFont="1" applyFill="1" applyBorder="1" applyAlignment="1">
      <alignment horizontal="center" vertical="center" wrapText="1"/>
    </xf>
    <xf numFmtId="0" fontId="18" fillId="4" borderId="0" xfId="0" applyFont="1" applyFill="1" applyAlignment="1">
      <alignment horizontal="center" vertical="center" wrapText="1"/>
    </xf>
    <xf numFmtId="0" fontId="17" fillId="4" borderId="13" xfId="0" applyFont="1" applyFill="1" applyBorder="1" applyAlignment="1">
      <alignment horizontal="center" vertical="center" wrapText="1"/>
    </xf>
    <xf numFmtId="0" fontId="38" fillId="9"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lang="en-US" b="1">
                <a:solidFill>
                  <a:srgbClr val="000000"/>
                </a:solidFill>
                <a:latin typeface="+mn-lt"/>
              </a:rPr>
              <a:t>Shareholding Pattern Before and After IPO</a:t>
            </a:r>
          </a:p>
        </c:rich>
      </c:tx>
      <c:overlay val="0"/>
    </c:title>
    <c:autoTitleDeleted val="0"/>
    <c:plotArea>
      <c:layout/>
      <c:barChart>
        <c:barDir val="bar"/>
        <c:grouping val="percentStacked"/>
        <c:varyColors val="1"/>
        <c:ser>
          <c:idx val="0"/>
          <c:order val="0"/>
          <c:tx>
            <c:strRef>
              <c:f>'Part II IPO Analysis'!$B$40</c:f>
              <c:strCache>
                <c:ptCount val="1"/>
              </c:strCache>
            </c:strRef>
          </c:tx>
          <c:spPr>
            <a:solidFill>
              <a:srgbClr val="000000"/>
            </a:solidFill>
            <a:ln cmpd="sng">
              <a:solidFill>
                <a:srgbClr val="000000"/>
              </a:solidFill>
            </a:ln>
          </c:spPr>
          <c:invertIfNegative val="1"/>
          <c:cat>
            <c:strRef>
              <c:f>'Part II IPO Analysis'!$A$41:$A$42</c:f>
              <c:strCache>
                <c:ptCount val="2"/>
                <c:pt idx="0">
                  <c:v>Shareholding pattern before IPO (promoter / public / others)</c:v>
                </c:pt>
                <c:pt idx="1">
                  <c:v>Shareholding pattern after IPO (promoter / public / others)</c:v>
                </c:pt>
              </c:strCache>
            </c:strRef>
          </c:cat>
          <c:val>
            <c:numRef>
              <c:f>'Part II IPO Analysis'!$B$41:$B$42</c:f>
              <c:numCache>
                <c:formatCode>General</c:formatCode>
                <c:ptCount val="2"/>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739-284E-BDCA-6AFFF1020A1E}"/>
            </c:ext>
          </c:extLst>
        </c:ser>
        <c:ser>
          <c:idx val="1"/>
          <c:order val="1"/>
          <c:tx>
            <c:strRef>
              <c:f>'Part II IPO Analysis'!$C$40</c:f>
              <c:strCache>
                <c:ptCount val="1"/>
                <c:pt idx="0">
                  <c:v>Promoter &amp; Promoter Group</c:v>
                </c:pt>
              </c:strCache>
            </c:strRef>
          </c:tx>
          <c:spPr>
            <a:solidFill>
              <a:srgbClr val="F6B26B"/>
            </a:solidFill>
            <a:ln cmpd="sng">
              <a:solidFill>
                <a:srgbClr val="000000"/>
              </a:solidFill>
            </a:ln>
          </c:spPr>
          <c:invertIfNegative val="1"/>
          <c:cat>
            <c:strRef>
              <c:f>'Part II IPO Analysis'!$A$41:$A$42</c:f>
              <c:strCache>
                <c:ptCount val="2"/>
                <c:pt idx="0">
                  <c:v>Shareholding pattern before IPO (promoter / public / others)</c:v>
                </c:pt>
                <c:pt idx="1">
                  <c:v>Shareholding pattern after IPO (promoter / public / others)</c:v>
                </c:pt>
              </c:strCache>
            </c:strRef>
          </c:cat>
          <c:val>
            <c:numRef>
              <c:f>'Part II IPO Analysis'!$C$41:$C$42</c:f>
              <c:numCache>
                <c:formatCode>0.00%</c:formatCode>
                <c:ptCount val="2"/>
                <c:pt idx="0">
                  <c:v>0.54220000000000002</c:v>
                </c:pt>
                <c:pt idx="1">
                  <c:v>0.32829999999999998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739-284E-BDCA-6AFFF1020A1E}"/>
            </c:ext>
          </c:extLst>
        </c:ser>
        <c:ser>
          <c:idx val="2"/>
          <c:order val="2"/>
          <c:tx>
            <c:strRef>
              <c:f>'Part II IPO Analysis'!$D$40</c:f>
              <c:strCache>
                <c:ptCount val="1"/>
                <c:pt idx="0">
                  <c:v>Public &amp; Employee</c:v>
                </c:pt>
              </c:strCache>
            </c:strRef>
          </c:tx>
          <c:invertIfNegative val="1"/>
          <c:cat>
            <c:strRef>
              <c:f>'Part II IPO Analysis'!$A$41:$A$42</c:f>
              <c:strCache>
                <c:ptCount val="2"/>
                <c:pt idx="0">
                  <c:v>Shareholding pattern before IPO (promoter / public / others)</c:v>
                </c:pt>
                <c:pt idx="1">
                  <c:v>Shareholding pattern after IPO (promoter / public / others)</c:v>
                </c:pt>
              </c:strCache>
            </c:strRef>
          </c:cat>
          <c:val>
            <c:numRef>
              <c:f>'Part II IPO Analysis'!$D$41:$D$42</c:f>
              <c:numCache>
                <c:formatCode>0.00%</c:formatCode>
                <c:ptCount val="2"/>
                <c:pt idx="0">
                  <c:v>0.45779999999999998</c:v>
                </c:pt>
                <c:pt idx="1">
                  <c:v>0.67169999999999996</c:v>
                </c:pt>
              </c:numCache>
            </c:numRef>
          </c:val>
          <c:extLst>
            <c:ext xmlns:c16="http://schemas.microsoft.com/office/drawing/2014/chart" uri="{C3380CC4-5D6E-409C-BE32-E72D297353CC}">
              <c16:uniqueId val="{00000002-D739-284E-BDCA-6AFFF1020A1E}"/>
            </c:ext>
          </c:extLst>
        </c:ser>
        <c:dLbls>
          <c:showLegendKey val="0"/>
          <c:showVal val="0"/>
          <c:showCatName val="0"/>
          <c:showSerName val="0"/>
          <c:showPercent val="0"/>
          <c:showBubbleSize val="0"/>
        </c:dLbls>
        <c:gapWidth val="150"/>
        <c:overlap val="100"/>
        <c:axId val="2033861483"/>
        <c:axId val="1868434164"/>
      </c:barChart>
      <c:catAx>
        <c:axId val="2033861483"/>
        <c:scaling>
          <c:orientation val="maxMin"/>
        </c:scaling>
        <c:delete val="0"/>
        <c:axPos val="l"/>
        <c:title>
          <c:tx>
            <c:rich>
              <a:bodyPr/>
              <a:lstStyle/>
              <a:p>
                <a:pPr lvl="0">
                  <a:defRPr b="0">
                    <a:solidFill>
                      <a:srgbClr val="1A1A1A"/>
                    </a:solidFill>
                    <a:latin typeface="+mn-lt"/>
                  </a:defRPr>
                </a:pPr>
                <a:endParaRPr lang="en-US"/>
              </a:p>
            </c:rich>
          </c:tx>
          <c:overlay val="0"/>
        </c:title>
        <c:numFmt formatCode="General" sourceLinked="1"/>
        <c:majorTickMark val="none"/>
        <c:minorTickMark val="none"/>
        <c:tickLblPos val="nextTo"/>
        <c:txPr>
          <a:bodyPr/>
          <a:lstStyle/>
          <a:p>
            <a:pPr lvl="0">
              <a:defRPr b="0">
                <a:solidFill>
                  <a:srgbClr val="1A1A1A"/>
                </a:solidFill>
                <a:latin typeface="+mn-lt"/>
              </a:defRPr>
            </a:pPr>
            <a:endParaRPr lang="en-US"/>
          </a:p>
        </c:txPr>
        <c:crossAx val="1868434164"/>
        <c:crosses val="autoZero"/>
        <c:auto val="1"/>
        <c:lblAlgn val="ctr"/>
        <c:lblOffset val="100"/>
        <c:noMultiLvlLbl val="1"/>
      </c:catAx>
      <c:valAx>
        <c:axId val="18684341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1A1A1A"/>
                </a:solidFill>
                <a:latin typeface="+mn-lt"/>
              </a:defRPr>
            </a:pPr>
            <a:endParaRPr lang="en-US"/>
          </a:p>
        </c:txPr>
        <c:crossAx val="2033861483"/>
        <c:crosses val="max"/>
        <c:crossBetween val="between"/>
      </c:valAx>
    </c:plotArea>
    <c:legend>
      <c:legendPos val="r"/>
      <c:overlay val="0"/>
      <c:txPr>
        <a:bodyPr/>
        <a:lstStyle/>
        <a:p>
          <a:pPr lvl="0">
            <a:defRPr b="0">
              <a:solidFill>
                <a:srgbClr val="313131"/>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E06666"/>
              </a:solidFill>
            </c:spPr>
            <c:extLst>
              <c:ext xmlns:c16="http://schemas.microsoft.com/office/drawing/2014/chart" uri="{C3380CC4-5D6E-409C-BE32-E72D297353CC}">
                <c16:uniqueId val="{00000001-99A4-FB42-90EF-405A4A9B0AB0}"/>
              </c:ext>
            </c:extLst>
          </c:dPt>
          <c:dPt>
            <c:idx val="1"/>
            <c:bubble3D val="0"/>
            <c:spPr>
              <a:solidFill>
                <a:srgbClr val="45818E"/>
              </a:solidFill>
            </c:spPr>
            <c:extLst>
              <c:ext xmlns:c16="http://schemas.microsoft.com/office/drawing/2014/chart" uri="{C3380CC4-5D6E-409C-BE32-E72D297353CC}">
                <c16:uniqueId val="{00000003-99A4-FB42-90EF-405A4A9B0AB0}"/>
              </c:ext>
            </c:extLst>
          </c:dPt>
          <c:dPt>
            <c:idx val="2"/>
            <c:bubble3D val="0"/>
            <c:spPr>
              <a:solidFill>
                <a:srgbClr val="1F3E78"/>
              </a:solidFill>
            </c:spPr>
            <c:extLst>
              <c:ext xmlns:c16="http://schemas.microsoft.com/office/drawing/2014/chart" uri="{C3380CC4-5D6E-409C-BE32-E72D297353CC}">
                <c16:uniqueId val="{00000005-99A4-FB42-90EF-405A4A9B0AB0}"/>
              </c:ext>
            </c:extLst>
          </c:dPt>
          <c:dPt>
            <c:idx val="3"/>
            <c:bubble3D val="0"/>
            <c:spPr>
              <a:solidFill>
                <a:srgbClr val="6FA8DC"/>
              </a:solidFill>
            </c:spPr>
            <c:extLst>
              <c:ext xmlns:c16="http://schemas.microsoft.com/office/drawing/2014/chart" uri="{C3380CC4-5D6E-409C-BE32-E72D297353CC}">
                <c16:uniqueId val="{00000007-99A4-FB42-90EF-405A4A9B0AB0}"/>
              </c:ext>
            </c:extLst>
          </c:dPt>
          <c:dPt>
            <c:idx val="4"/>
            <c:bubble3D val="0"/>
            <c:spPr>
              <a:solidFill>
                <a:srgbClr val="999999"/>
              </a:solidFill>
            </c:spPr>
            <c:extLst>
              <c:ext xmlns:c16="http://schemas.microsoft.com/office/drawing/2014/chart" uri="{C3380CC4-5D6E-409C-BE32-E72D297353CC}">
                <c16:uniqueId val="{00000009-99A4-FB42-90EF-405A4A9B0AB0}"/>
              </c:ext>
            </c:extLst>
          </c:dPt>
          <c:dPt>
            <c:idx val="5"/>
            <c:bubble3D val="0"/>
            <c:spPr>
              <a:solidFill>
                <a:srgbClr val="DD7E6B"/>
              </a:solidFill>
            </c:spPr>
            <c:extLst>
              <c:ext xmlns:c16="http://schemas.microsoft.com/office/drawing/2014/chart" uri="{C3380CC4-5D6E-409C-BE32-E72D297353CC}">
                <c16:uniqueId val="{0000000B-99A4-FB42-90EF-405A4A9B0AB0}"/>
              </c:ext>
            </c:extLst>
          </c:dPt>
          <c:cat>
            <c:strRef>
              <c:f>'Part III – Financial Management'!$A$37:$A$42</c:f>
              <c:strCache>
                <c:ptCount val="6"/>
                <c:pt idx="0">
                  <c:v>Sugar</c:v>
                </c:pt>
                <c:pt idx="1">
                  <c:v>Distillery</c:v>
                </c:pt>
                <c:pt idx="2">
                  <c:v>Co-generation</c:v>
                </c:pt>
                <c:pt idx="3">
                  <c:v>Vinegar Unit</c:v>
                </c:pt>
                <c:pt idx="4">
                  <c:v>IML (IMFL)</c:v>
                </c:pt>
                <c:pt idx="5">
                  <c:v>Unallocable</c:v>
                </c:pt>
              </c:strCache>
            </c:strRef>
          </c:cat>
          <c:val>
            <c:numRef>
              <c:f>'Part III – Financial Management'!$E$37:$E$42</c:f>
              <c:numCache>
                <c:formatCode>0.00%</c:formatCode>
                <c:ptCount val="6"/>
                <c:pt idx="0">
                  <c:v>0.41033612484441606</c:v>
                </c:pt>
                <c:pt idx="1">
                  <c:v>0.43869394030170211</c:v>
                </c:pt>
                <c:pt idx="2">
                  <c:v>7.6457137998253447E-2</c:v>
                </c:pt>
                <c:pt idx="3">
                  <c:v>2.7E-2</c:v>
                </c:pt>
                <c:pt idx="4">
                  <c:v>3.875976568703963E-3</c:v>
                </c:pt>
                <c:pt idx="5">
                  <c:v>4.3599910669039052E-2</c:v>
                </c:pt>
              </c:numCache>
            </c:numRef>
          </c:val>
          <c:extLst>
            <c:ext xmlns:c16="http://schemas.microsoft.com/office/drawing/2014/chart" uri="{C3380CC4-5D6E-409C-BE32-E72D297353CC}">
              <c16:uniqueId val="{0000000C-99A4-FB42-90EF-405A4A9B0AB0}"/>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313131"/>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lang="en-US" b="1">
                <a:solidFill>
                  <a:srgbClr val="000000"/>
                </a:solidFill>
                <a:latin typeface="+mn-lt"/>
              </a:rPr>
              <a:t>FUNDING FOR WC</a:t>
            </a:r>
          </a:p>
        </c:rich>
      </c:tx>
      <c:overlay val="0"/>
    </c:title>
    <c:autoTitleDeleted val="0"/>
    <c:plotArea>
      <c:layout/>
      <c:barChart>
        <c:barDir val="col"/>
        <c:grouping val="clustered"/>
        <c:varyColors val="1"/>
        <c:ser>
          <c:idx val="0"/>
          <c:order val="0"/>
          <c:tx>
            <c:v>2023-2024</c:v>
          </c:tx>
          <c:spPr>
            <a:solidFill>
              <a:srgbClr val="FF9900"/>
            </a:solidFill>
            <a:ln cmpd="sng">
              <a:solidFill>
                <a:srgbClr val="000000"/>
              </a:solidFill>
            </a:ln>
          </c:spPr>
          <c:invertIfNegative val="1"/>
          <c:dPt>
            <c:idx val="0"/>
            <c:invertIfNegative val="1"/>
            <c:bubble3D val="0"/>
            <c:extLst>
              <c:ext xmlns:c16="http://schemas.microsoft.com/office/drawing/2014/chart" uri="{C3380CC4-5D6E-409C-BE32-E72D297353CC}">
                <c16:uniqueId val="{00000001-B5D1-2647-8245-6EEABC445E44}"/>
              </c:ext>
            </c:extLst>
          </c:dPt>
          <c:cat>
            <c:strRef>
              <c:f>'Part III – Financial Management'!$A$104:$A$109</c:f>
              <c:strCache>
                <c:ptCount val="6"/>
                <c:pt idx="0">
                  <c:v>Operating Cash Flow</c:v>
                </c:pt>
                <c:pt idx="1">
                  <c:v>Long-Term Debt Financing</c:v>
                </c:pt>
                <c:pt idx="2">
                  <c:v>Short-Term Debt Financing</c:v>
                </c:pt>
                <c:pt idx="3">
                  <c:v>Trade Credit</c:v>
                </c:pt>
                <c:pt idx="4">
                  <c:v>Customer &amp; Advance Financing</c:v>
                </c:pt>
                <c:pt idx="5">
                  <c:v>Equity Financing</c:v>
                </c:pt>
              </c:strCache>
            </c:strRef>
          </c:cat>
          <c:val>
            <c:numRef>
              <c:f>'Part III – Financial Management'!$D$104:$D$109</c:f>
              <c:numCache>
                <c:formatCode>General</c:formatCode>
                <c:ptCount val="6"/>
                <c:pt idx="0" formatCode="#,##0.00">
                  <c:v>14573.5</c:v>
                </c:pt>
                <c:pt idx="1">
                  <c:v>699.67</c:v>
                </c:pt>
                <c:pt idx="2" formatCode="#,##0.00">
                  <c:v>29086.39</c:v>
                </c:pt>
                <c:pt idx="3" formatCode="#,##0.00">
                  <c:v>9790.85</c:v>
                </c:pt>
                <c:pt idx="4" formatCode="#,##0.00">
                  <c:v>1169.6300000000001</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5D1-2647-8245-6EEABC445E44}"/>
            </c:ext>
          </c:extLst>
        </c:ser>
        <c:ser>
          <c:idx val="1"/>
          <c:order val="1"/>
          <c:tx>
            <c:v>2024-2025</c:v>
          </c:tx>
          <c:spPr>
            <a:solidFill>
              <a:srgbClr val="000000"/>
            </a:solidFill>
            <a:ln cmpd="sng">
              <a:solidFill>
                <a:srgbClr val="000000"/>
              </a:solidFill>
            </a:ln>
          </c:spPr>
          <c:invertIfNegative val="1"/>
          <c:cat>
            <c:strRef>
              <c:f>'Part III – Financial Management'!$A$104:$A$109</c:f>
              <c:strCache>
                <c:ptCount val="6"/>
                <c:pt idx="0">
                  <c:v>Operating Cash Flow</c:v>
                </c:pt>
                <c:pt idx="1">
                  <c:v>Long-Term Debt Financing</c:v>
                </c:pt>
                <c:pt idx="2">
                  <c:v>Short-Term Debt Financing</c:v>
                </c:pt>
                <c:pt idx="3">
                  <c:v>Trade Credit</c:v>
                </c:pt>
                <c:pt idx="4">
                  <c:v>Customer &amp; Advance Financing</c:v>
                </c:pt>
                <c:pt idx="5">
                  <c:v>Equity Financing</c:v>
                </c:pt>
              </c:strCache>
            </c:strRef>
          </c:cat>
          <c:val>
            <c:numRef>
              <c:f>'Part III – Financial Management'!$E$104:$E$109</c:f>
              <c:numCache>
                <c:formatCode>General</c:formatCode>
                <c:ptCount val="6"/>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B5D1-2647-8245-6EEABC445E44}"/>
            </c:ext>
          </c:extLst>
        </c:ser>
        <c:ser>
          <c:idx val="2"/>
          <c:order val="2"/>
          <c:invertIfNegative val="1"/>
          <c:cat>
            <c:strRef>
              <c:f>'Part III – Financial Management'!$A$104:$A$109</c:f>
              <c:strCache>
                <c:ptCount val="6"/>
                <c:pt idx="0">
                  <c:v>Operating Cash Flow</c:v>
                </c:pt>
                <c:pt idx="1">
                  <c:v>Long-Term Debt Financing</c:v>
                </c:pt>
                <c:pt idx="2">
                  <c:v>Short-Term Debt Financing</c:v>
                </c:pt>
                <c:pt idx="3">
                  <c:v>Trade Credit</c:v>
                </c:pt>
                <c:pt idx="4">
                  <c:v>Customer &amp; Advance Financing</c:v>
                </c:pt>
                <c:pt idx="5">
                  <c:v>Equity Financing</c:v>
                </c:pt>
              </c:strCache>
            </c:strRef>
          </c:cat>
          <c:val>
            <c:numRef>
              <c:f>'Part III – Financial Management'!$B$104:$B$109</c:f>
              <c:numCache>
                <c:formatCode>#,##0.00</c:formatCode>
                <c:ptCount val="6"/>
                <c:pt idx="0">
                  <c:v>5035.79</c:v>
                </c:pt>
                <c:pt idx="1">
                  <c:v>6176.14</c:v>
                </c:pt>
                <c:pt idx="2">
                  <c:v>26568.34</c:v>
                </c:pt>
                <c:pt idx="3">
                  <c:v>4638.92</c:v>
                </c:pt>
                <c:pt idx="4">
                  <c:v>4778.7299999999996</c:v>
                </c:pt>
                <c:pt idx="5">
                  <c:v>5398.98</c:v>
                </c:pt>
              </c:numCache>
            </c:numRef>
          </c:val>
          <c:extLst>
            <c:ext xmlns:c16="http://schemas.microsoft.com/office/drawing/2014/chart" uri="{C3380CC4-5D6E-409C-BE32-E72D297353CC}">
              <c16:uniqueId val="{00000004-B5D1-2647-8245-6EEABC445E44}"/>
            </c:ext>
          </c:extLst>
        </c:ser>
        <c:ser>
          <c:idx val="3"/>
          <c:order val="3"/>
          <c:invertIfNegative val="1"/>
          <c:cat>
            <c:strRef>
              <c:f>'Part III – Financial Management'!$A$104:$A$109</c:f>
              <c:strCache>
                <c:ptCount val="6"/>
                <c:pt idx="0">
                  <c:v>Operating Cash Flow</c:v>
                </c:pt>
                <c:pt idx="1">
                  <c:v>Long-Term Debt Financing</c:v>
                </c:pt>
                <c:pt idx="2">
                  <c:v>Short-Term Debt Financing</c:v>
                </c:pt>
                <c:pt idx="3">
                  <c:v>Trade Credit</c:v>
                </c:pt>
                <c:pt idx="4">
                  <c:v>Customer &amp; Advance Financing</c:v>
                </c:pt>
                <c:pt idx="5">
                  <c:v>Equity Financing</c:v>
                </c:pt>
              </c:strCache>
            </c:strRef>
          </c:cat>
          <c:val>
            <c:numRef>
              <c:f>'Part III – Financial Management'!$C$104:$C$109</c:f>
              <c:numCache>
                <c:formatCode>General</c:formatCode>
                <c:ptCount val="6"/>
              </c:numCache>
            </c:numRef>
          </c:val>
          <c:extLst>
            <c:ext xmlns:c16="http://schemas.microsoft.com/office/drawing/2014/chart" uri="{C3380CC4-5D6E-409C-BE32-E72D297353CC}">
              <c16:uniqueId val="{00000005-B5D1-2647-8245-6EEABC445E44}"/>
            </c:ext>
          </c:extLst>
        </c:ser>
        <c:dLbls>
          <c:showLegendKey val="0"/>
          <c:showVal val="0"/>
          <c:showCatName val="0"/>
          <c:showSerName val="0"/>
          <c:showPercent val="0"/>
          <c:showBubbleSize val="0"/>
        </c:dLbls>
        <c:gapWidth val="150"/>
        <c:axId val="515528301"/>
        <c:axId val="723751811"/>
      </c:barChart>
      <c:catAx>
        <c:axId val="515528301"/>
        <c:scaling>
          <c:orientation val="minMax"/>
        </c:scaling>
        <c:delete val="0"/>
        <c:axPos val="b"/>
        <c:title>
          <c:tx>
            <c:rich>
              <a:bodyPr/>
              <a:lstStyle/>
              <a:p>
                <a:pPr lvl="0">
                  <a:defRPr b="0">
                    <a:solidFill>
                      <a:srgbClr val="1A1A1A"/>
                    </a:solidFill>
                    <a:latin typeface="+mn-lt"/>
                  </a:defRPr>
                </a:pPr>
                <a:endParaRPr lang="en-US"/>
              </a:p>
            </c:rich>
          </c:tx>
          <c:overlay val="0"/>
        </c:title>
        <c:numFmt formatCode="General" sourceLinked="1"/>
        <c:majorTickMark val="none"/>
        <c:minorTickMark val="none"/>
        <c:tickLblPos val="nextTo"/>
        <c:txPr>
          <a:bodyPr/>
          <a:lstStyle/>
          <a:p>
            <a:pPr lvl="0">
              <a:defRPr b="0">
                <a:solidFill>
                  <a:srgbClr val="1A1A1A"/>
                </a:solidFill>
                <a:latin typeface="+mn-lt"/>
              </a:defRPr>
            </a:pPr>
            <a:endParaRPr lang="en-US"/>
          </a:p>
        </c:txPr>
        <c:crossAx val="723751811"/>
        <c:crosses val="autoZero"/>
        <c:auto val="1"/>
        <c:lblAlgn val="ctr"/>
        <c:lblOffset val="100"/>
        <c:noMultiLvlLbl val="1"/>
      </c:catAx>
      <c:valAx>
        <c:axId val="7237518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endParaRPr lang="en-US"/>
              </a:p>
            </c:rich>
          </c:tx>
          <c:overlay val="0"/>
        </c:title>
        <c:numFmt formatCode="#,##0.00" sourceLinked="1"/>
        <c:majorTickMark val="none"/>
        <c:minorTickMark val="none"/>
        <c:tickLblPos val="nextTo"/>
        <c:spPr>
          <a:ln/>
        </c:spPr>
        <c:txPr>
          <a:bodyPr/>
          <a:lstStyle/>
          <a:p>
            <a:pPr lvl="0">
              <a:defRPr b="0">
                <a:solidFill>
                  <a:srgbClr val="1A1A1A"/>
                </a:solidFill>
                <a:latin typeface="+mn-lt"/>
              </a:defRPr>
            </a:pPr>
            <a:endParaRPr lang="en-US"/>
          </a:p>
        </c:txPr>
        <c:crossAx val="515528301"/>
        <c:crosses val="autoZero"/>
        <c:crossBetween val="between"/>
      </c:valAx>
    </c:plotArea>
    <c:legend>
      <c:legendPos val="r"/>
      <c:layout>
        <c:manualLayout>
          <c:xMode val="edge"/>
          <c:yMode val="edge"/>
          <c:x val="0.38950564971751417"/>
          <c:y val="0.14884297008565064"/>
        </c:manualLayout>
      </c:layout>
      <c:overlay val="0"/>
      <c:txPr>
        <a:bodyPr/>
        <a:lstStyle/>
        <a:p>
          <a:pPr lvl="0">
            <a:defRPr b="0">
              <a:solidFill>
                <a:srgbClr val="313131"/>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lang="en-US" b="1">
                <a:solidFill>
                  <a:srgbClr val="000000"/>
                </a:solidFill>
                <a:latin typeface="+mn-lt"/>
              </a:rPr>
              <a:t>CURRENT ASSETS</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1A9988"/>
              </a:solidFill>
            </c:spPr>
            <c:extLst>
              <c:ext xmlns:c16="http://schemas.microsoft.com/office/drawing/2014/chart" uri="{C3380CC4-5D6E-409C-BE32-E72D297353CC}">
                <c16:uniqueId val="{00000001-F913-DA48-B2B6-8AC9C81E0959}"/>
              </c:ext>
            </c:extLst>
          </c:dPt>
          <c:dPt>
            <c:idx val="1"/>
            <c:bubble3D val="0"/>
            <c:spPr>
              <a:solidFill>
                <a:srgbClr val="E06666"/>
              </a:solidFill>
            </c:spPr>
            <c:extLst>
              <c:ext xmlns:c16="http://schemas.microsoft.com/office/drawing/2014/chart" uri="{C3380CC4-5D6E-409C-BE32-E72D297353CC}">
                <c16:uniqueId val="{00000003-F913-DA48-B2B6-8AC9C81E0959}"/>
              </c:ext>
            </c:extLst>
          </c:dPt>
          <c:dPt>
            <c:idx val="2"/>
            <c:bubble3D val="0"/>
            <c:spPr>
              <a:solidFill>
                <a:srgbClr val="1F3E78"/>
              </a:solidFill>
            </c:spPr>
            <c:extLst>
              <c:ext xmlns:c16="http://schemas.microsoft.com/office/drawing/2014/chart" uri="{C3380CC4-5D6E-409C-BE32-E72D297353CC}">
                <c16:uniqueId val="{00000005-F913-DA48-B2B6-8AC9C81E0959}"/>
              </c:ext>
            </c:extLst>
          </c:dPt>
          <c:dPt>
            <c:idx val="3"/>
            <c:bubble3D val="0"/>
            <c:spPr>
              <a:solidFill>
                <a:srgbClr val="EB5600"/>
              </a:solidFill>
            </c:spPr>
            <c:extLst>
              <c:ext xmlns:c16="http://schemas.microsoft.com/office/drawing/2014/chart" uri="{C3380CC4-5D6E-409C-BE32-E72D297353CC}">
                <c16:uniqueId val="{00000007-F913-DA48-B2B6-8AC9C81E0959}"/>
              </c:ext>
            </c:extLst>
          </c:dPt>
          <c:dPt>
            <c:idx val="4"/>
            <c:bubble3D val="0"/>
            <c:spPr>
              <a:solidFill>
                <a:srgbClr val="999999"/>
              </a:solidFill>
            </c:spPr>
            <c:extLst>
              <c:ext xmlns:c16="http://schemas.microsoft.com/office/drawing/2014/chart" uri="{C3380CC4-5D6E-409C-BE32-E72D297353CC}">
                <c16:uniqueId val="{00000009-F913-DA48-B2B6-8AC9C81E0959}"/>
              </c:ext>
            </c:extLst>
          </c:dPt>
          <c:dPt>
            <c:idx val="5"/>
            <c:bubble3D val="0"/>
            <c:spPr>
              <a:solidFill>
                <a:srgbClr val="FFD4B8"/>
              </a:solidFill>
            </c:spPr>
            <c:extLst>
              <c:ext xmlns:c16="http://schemas.microsoft.com/office/drawing/2014/chart" uri="{C3380CC4-5D6E-409C-BE32-E72D297353CC}">
                <c16:uniqueId val="{0000000B-F913-DA48-B2B6-8AC9C81E0959}"/>
              </c:ext>
            </c:extLst>
          </c:dPt>
          <c:cat>
            <c:strRef>
              <c:f>'Part III – Financial Management'!$A$133:$A$138</c:f>
              <c:strCache>
                <c:ptCount val="6"/>
                <c:pt idx="0">
                  <c:v>Inventories</c:v>
                </c:pt>
                <c:pt idx="1">
                  <c:v>Trade Receivables</c:v>
                </c:pt>
                <c:pt idx="2">
                  <c:v>Cash &amp; Cash Equivalents</c:v>
                </c:pt>
                <c:pt idx="3">
                  <c:v>Other Current Assets</c:v>
                </c:pt>
                <c:pt idx="4">
                  <c:v>Other Bank Balances</c:v>
                </c:pt>
                <c:pt idx="5">
                  <c:v>Other Financial Assets</c:v>
                </c:pt>
              </c:strCache>
            </c:strRef>
          </c:cat>
          <c:val>
            <c:numRef>
              <c:f>'Part III – Financial Management'!$B$133:$B$138</c:f>
              <c:numCache>
                <c:formatCode>#,##0.00</c:formatCode>
                <c:ptCount val="6"/>
                <c:pt idx="0">
                  <c:v>23585.3</c:v>
                </c:pt>
                <c:pt idx="1">
                  <c:v>2990</c:v>
                </c:pt>
                <c:pt idx="2" formatCode="General">
                  <c:v>959.33</c:v>
                </c:pt>
                <c:pt idx="3">
                  <c:v>6057.23</c:v>
                </c:pt>
                <c:pt idx="4" formatCode="General">
                  <c:v>10</c:v>
                </c:pt>
                <c:pt idx="5" formatCode="General">
                  <c:v>0.37</c:v>
                </c:pt>
              </c:numCache>
            </c:numRef>
          </c:val>
          <c:extLst>
            <c:ext xmlns:c16="http://schemas.microsoft.com/office/drawing/2014/chart" uri="{C3380CC4-5D6E-409C-BE32-E72D297353CC}">
              <c16:uniqueId val="{0000000C-F913-DA48-B2B6-8AC9C81E0959}"/>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313131"/>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lang="en-US" b="1">
                <a:solidFill>
                  <a:srgbClr val="000000"/>
                </a:solidFill>
                <a:latin typeface="+mn-lt"/>
              </a:rPr>
              <a:t>CURRENT LIABILITIES</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1A9988"/>
              </a:solidFill>
            </c:spPr>
            <c:extLst>
              <c:ext xmlns:c16="http://schemas.microsoft.com/office/drawing/2014/chart" uri="{C3380CC4-5D6E-409C-BE32-E72D297353CC}">
                <c16:uniqueId val="{00000001-E3F9-7346-B709-AE59AB3EB070}"/>
              </c:ext>
            </c:extLst>
          </c:dPt>
          <c:dPt>
            <c:idx val="1"/>
            <c:bubble3D val="0"/>
            <c:spPr>
              <a:solidFill>
                <a:srgbClr val="E06666"/>
              </a:solidFill>
            </c:spPr>
            <c:extLst>
              <c:ext xmlns:c16="http://schemas.microsoft.com/office/drawing/2014/chart" uri="{C3380CC4-5D6E-409C-BE32-E72D297353CC}">
                <c16:uniqueId val="{00000003-E3F9-7346-B709-AE59AB3EB070}"/>
              </c:ext>
            </c:extLst>
          </c:dPt>
          <c:dPt>
            <c:idx val="2"/>
            <c:bubble3D val="0"/>
            <c:spPr>
              <a:solidFill>
                <a:srgbClr val="1F3E78"/>
              </a:solidFill>
            </c:spPr>
            <c:extLst>
              <c:ext xmlns:c16="http://schemas.microsoft.com/office/drawing/2014/chart" uri="{C3380CC4-5D6E-409C-BE32-E72D297353CC}">
                <c16:uniqueId val="{00000005-E3F9-7346-B709-AE59AB3EB070}"/>
              </c:ext>
            </c:extLst>
          </c:dPt>
          <c:dPt>
            <c:idx val="3"/>
            <c:bubble3D val="0"/>
            <c:spPr>
              <a:solidFill>
                <a:srgbClr val="EB5600"/>
              </a:solidFill>
            </c:spPr>
            <c:extLst>
              <c:ext xmlns:c16="http://schemas.microsoft.com/office/drawing/2014/chart" uri="{C3380CC4-5D6E-409C-BE32-E72D297353CC}">
                <c16:uniqueId val="{00000007-E3F9-7346-B709-AE59AB3EB070}"/>
              </c:ext>
            </c:extLst>
          </c:dPt>
          <c:dPt>
            <c:idx val="4"/>
            <c:bubble3D val="0"/>
            <c:spPr>
              <a:solidFill>
                <a:srgbClr val="999999"/>
              </a:solidFill>
            </c:spPr>
            <c:extLst>
              <c:ext xmlns:c16="http://schemas.microsoft.com/office/drawing/2014/chart" uri="{C3380CC4-5D6E-409C-BE32-E72D297353CC}">
                <c16:uniqueId val="{00000009-E3F9-7346-B709-AE59AB3EB070}"/>
              </c:ext>
            </c:extLst>
          </c:dPt>
          <c:cat>
            <c:strRef>
              <c:f>'Part III – Financial Management'!$A$165:$A$169</c:f>
              <c:strCache>
                <c:ptCount val="5"/>
                <c:pt idx="0">
                  <c:v>Current Borrowings</c:v>
                </c:pt>
                <c:pt idx="1">
                  <c:v>Trade Payables</c:v>
                </c:pt>
                <c:pt idx="2">
                  <c:v>Other Financial Liabilities</c:v>
                </c:pt>
                <c:pt idx="3">
                  <c:v>Other Current Liabilities</c:v>
                </c:pt>
                <c:pt idx="4">
                  <c:v>Current Provisions</c:v>
                </c:pt>
              </c:strCache>
            </c:strRef>
          </c:cat>
          <c:val>
            <c:numRef>
              <c:f>'Part III – Financial Management'!$B$165:$B$169</c:f>
              <c:numCache>
                <c:formatCode>#,##0.00</c:formatCode>
                <c:ptCount val="5"/>
                <c:pt idx="0">
                  <c:v>26568.34</c:v>
                </c:pt>
                <c:pt idx="1">
                  <c:v>4638.92</c:v>
                </c:pt>
                <c:pt idx="2">
                  <c:v>4778.7299999999996</c:v>
                </c:pt>
                <c:pt idx="3" formatCode="General">
                  <c:v>545.21</c:v>
                </c:pt>
                <c:pt idx="4" formatCode="General">
                  <c:v>66.03</c:v>
                </c:pt>
              </c:numCache>
            </c:numRef>
          </c:val>
          <c:extLst>
            <c:ext xmlns:c16="http://schemas.microsoft.com/office/drawing/2014/chart" uri="{C3380CC4-5D6E-409C-BE32-E72D297353CC}">
              <c16:uniqueId val="{0000000A-E3F9-7346-B709-AE59AB3EB070}"/>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313131"/>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-9525</xdr:colOff>
      <xdr:row>43</xdr:row>
      <xdr:rowOff>28575</xdr:rowOff>
    </xdr:from>
    <xdr:ext cx="14030325" cy="317182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590550</xdr:colOff>
      <xdr:row>44</xdr:row>
      <xdr:rowOff>38100</xdr:rowOff>
    </xdr:from>
    <xdr:ext cx="5715000" cy="3533775"/>
    <xdr:graphicFrame macro="">
      <xdr:nvGraphicFramePr>
        <xdr:cNvPr id="2" name="Chart 2"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1276350</xdr:colOff>
      <xdr:row>110</xdr:row>
      <xdr:rowOff>66675</xdr:rowOff>
    </xdr:from>
    <xdr:ext cx="8991600" cy="3038475"/>
    <xdr:graphicFrame macro="">
      <xdr:nvGraphicFramePr>
        <xdr:cNvPr id="3" name="Chart 3"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933450</xdr:colOff>
      <xdr:row>139</xdr:row>
      <xdr:rowOff>76200</xdr:rowOff>
    </xdr:from>
    <xdr:ext cx="5962650" cy="3695700"/>
    <xdr:graphicFrame macro="">
      <xdr:nvGraphicFramePr>
        <xdr:cNvPr id="4" name="Chart 4"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1343025</xdr:colOff>
      <xdr:row>170</xdr:row>
      <xdr:rowOff>85725</xdr:rowOff>
    </xdr:from>
    <xdr:ext cx="5715000" cy="3695700"/>
    <xdr:graphicFrame macro="">
      <xdr:nvGraphicFramePr>
        <xdr:cNvPr id="5" name="Chart 5"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1A1A1A"/>
      </a:dk1>
      <a:lt1>
        <a:srgbClr val="999999"/>
      </a:lt1>
      <a:dk2>
        <a:srgbClr val="1A1A1A"/>
      </a:dk2>
      <a:lt2>
        <a:srgbClr val="999999"/>
      </a:lt2>
      <a:accent1>
        <a:srgbClr val="1A9988"/>
      </a:accent1>
      <a:accent2>
        <a:srgbClr val="999999"/>
      </a:accent2>
      <a:accent3>
        <a:srgbClr val="1F3E78"/>
      </a:accent3>
      <a:accent4>
        <a:srgbClr val="EB5600"/>
      </a:accent4>
      <a:accent5>
        <a:srgbClr val="999999"/>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http://www.vsil.in/investorrelations.php" TargetMode="External"/><Relationship Id="rId2" Type="http://schemas.openxmlformats.org/officeDocument/2006/relationships/hyperlink" Target="http://www.vsil.in/pdf/annual_report_2024.pdf" TargetMode="External"/><Relationship Id="rId1" Type="http://schemas.openxmlformats.org/officeDocument/2006/relationships/hyperlink" Target="http://www.vsil.in/" TargetMode="External"/><Relationship Id="rId5" Type="http://schemas.openxmlformats.org/officeDocument/2006/relationships/hyperlink" Target="https://www.chittorgarh.com/ipo/vishwaraj-ipo/101/" TargetMode="External"/><Relationship Id="rId4" Type="http://schemas.openxmlformats.org/officeDocument/2006/relationships/hyperlink" Target="https://www.screener.in/company/VS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86"/>
  <sheetViews>
    <sheetView tabSelected="1" workbookViewId="0">
      <selection activeCell="H31" sqref="H31"/>
    </sheetView>
  </sheetViews>
  <sheetFormatPr baseColWidth="10" defaultColWidth="11.1640625" defaultRowHeight="15.75" customHeight="1"/>
  <cols>
    <col min="1" max="1" width="55.5" customWidth="1"/>
    <col min="2" max="2" width="25.33203125" customWidth="1"/>
    <col min="8" max="8" width="28.33203125" customWidth="1"/>
  </cols>
  <sheetData>
    <row r="1" spans="1:18" ht="13">
      <c r="A1" s="75" t="s">
        <v>0</v>
      </c>
      <c r="B1" s="76"/>
      <c r="C1" s="76"/>
      <c r="D1" s="76"/>
      <c r="E1" s="76"/>
      <c r="F1" s="76"/>
      <c r="G1" s="76"/>
      <c r="H1" s="77"/>
      <c r="I1" s="1"/>
      <c r="J1" s="1"/>
      <c r="K1" s="1"/>
      <c r="L1" s="1"/>
      <c r="M1" s="1"/>
      <c r="N1" s="1"/>
      <c r="O1" s="1"/>
      <c r="P1" s="1"/>
      <c r="Q1" s="1"/>
      <c r="R1" s="1"/>
    </row>
    <row r="2" spans="1:18" ht="18.75" customHeight="1">
      <c r="A2" s="78"/>
      <c r="B2" s="79"/>
      <c r="C2" s="79"/>
      <c r="D2" s="79"/>
      <c r="E2" s="79"/>
      <c r="F2" s="79"/>
      <c r="G2" s="79"/>
      <c r="H2" s="80"/>
      <c r="I2" s="1"/>
      <c r="J2" s="1"/>
      <c r="K2" s="1"/>
      <c r="L2" s="1"/>
      <c r="M2" s="1"/>
      <c r="N2" s="1"/>
      <c r="O2" s="1"/>
      <c r="P2" s="1"/>
      <c r="Q2" s="1"/>
      <c r="R2" s="1"/>
    </row>
    <row r="3" spans="1:18" ht="13">
      <c r="A3" s="81" t="s">
        <v>1</v>
      </c>
      <c r="B3" s="82"/>
      <c r="C3" s="84" t="s">
        <v>2</v>
      </c>
      <c r="D3" s="82"/>
      <c r="E3" s="82"/>
      <c r="F3" s="82"/>
      <c r="G3" s="82"/>
      <c r="H3" s="85"/>
      <c r="I3" s="1"/>
      <c r="J3" s="1"/>
      <c r="K3" s="1"/>
      <c r="L3" s="1"/>
      <c r="M3" s="1"/>
      <c r="N3" s="1"/>
      <c r="O3" s="1"/>
      <c r="P3" s="1"/>
      <c r="Q3" s="1"/>
      <c r="R3" s="1"/>
    </row>
    <row r="4" spans="1:18" ht="27.75" customHeight="1">
      <c r="A4" s="83"/>
      <c r="B4" s="82"/>
      <c r="C4" s="82"/>
      <c r="D4" s="82"/>
      <c r="E4" s="82"/>
      <c r="F4" s="82"/>
      <c r="G4" s="82"/>
      <c r="H4" s="85"/>
      <c r="I4" s="1"/>
      <c r="J4" s="1"/>
      <c r="K4" s="1"/>
      <c r="L4" s="1"/>
      <c r="M4" s="1"/>
      <c r="N4" s="1"/>
      <c r="O4" s="1"/>
      <c r="P4" s="1"/>
      <c r="Q4" s="1"/>
      <c r="R4" s="1"/>
    </row>
    <row r="5" spans="1:18" ht="13">
      <c r="A5" s="81" t="s">
        <v>3</v>
      </c>
      <c r="B5" s="82"/>
      <c r="C5" s="84" t="s">
        <v>4</v>
      </c>
      <c r="D5" s="82"/>
      <c r="E5" s="82"/>
      <c r="F5" s="82"/>
      <c r="G5" s="82"/>
      <c r="H5" s="85"/>
      <c r="I5" s="1"/>
      <c r="J5" s="1"/>
      <c r="K5" s="1"/>
      <c r="L5" s="1"/>
      <c r="M5" s="1"/>
      <c r="N5" s="1"/>
      <c r="O5" s="1"/>
      <c r="P5" s="1"/>
      <c r="Q5" s="1"/>
      <c r="R5" s="1"/>
    </row>
    <row r="6" spans="1:18" ht="20.25" customHeight="1">
      <c r="A6" s="83"/>
      <c r="B6" s="82"/>
      <c r="C6" s="82"/>
      <c r="D6" s="82"/>
      <c r="E6" s="82"/>
      <c r="F6" s="82"/>
      <c r="G6" s="82"/>
      <c r="H6" s="85"/>
      <c r="I6" s="1"/>
      <c r="J6" s="1"/>
      <c r="K6" s="1"/>
      <c r="L6" s="1"/>
      <c r="M6" s="1"/>
      <c r="N6" s="1"/>
      <c r="O6" s="1"/>
      <c r="P6" s="1"/>
      <c r="Q6" s="1"/>
      <c r="R6" s="1"/>
    </row>
    <row r="7" spans="1:18" ht="13">
      <c r="A7" s="81" t="s">
        <v>5</v>
      </c>
      <c r="B7" s="82"/>
      <c r="C7" s="84" t="s">
        <v>6</v>
      </c>
      <c r="D7" s="82"/>
      <c r="E7" s="82"/>
      <c r="F7" s="82"/>
      <c r="G7" s="82"/>
      <c r="H7" s="85"/>
      <c r="I7" s="1"/>
      <c r="J7" s="1"/>
      <c r="K7" s="1"/>
      <c r="L7" s="1"/>
      <c r="M7" s="1"/>
      <c r="N7" s="1"/>
      <c r="O7" s="1"/>
      <c r="P7" s="1"/>
      <c r="Q7" s="1"/>
      <c r="R7" s="1"/>
    </row>
    <row r="8" spans="1:18" ht="22.5" customHeight="1">
      <c r="A8" s="83"/>
      <c r="B8" s="82"/>
      <c r="C8" s="82"/>
      <c r="D8" s="82"/>
      <c r="E8" s="82"/>
      <c r="F8" s="82"/>
      <c r="G8" s="82"/>
      <c r="H8" s="85"/>
      <c r="I8" s="1"/>
      <c r="J8" s="1"/>
      <c r="K8" s="1"/>
      <c r="L8" s="1"/>
      <c r="M8" s="1"/>
      <c r="N8" s="1"/>
      <c r="O8" s="1"/>
      <c r="P8" s="1"/>
      <c r="Q8" s="1"/>
      <c r="R8" s="1"/>
    </row>
    <row r="9" spans="1:18" ht="13">
      <c r="A9" s="86"/>
      <c r="B9" s="82"/>
      <c r="C9" s="82"/>
      <c r="D9" s="82"/>
      <c r="E9" s="82"/>
      <c r="F9" s="82"/>
      <c r="G9" s="82"/>
      <c r="H9" s="85"/>
      <c r="I9" s="1"/>
      <c r="J9" s="1"/>
      <c r="K9" s="1"/>
      <c r="L9" s="1"/>
      <c r="M9" s="1"/>
      <c r="N9" s="1"/>
      <c r="O9" s="1"/>
      <c r="P9" s="1"/>
      <c r="Q9" s="1"/>
      <c r="R9" s="1"/>
    </row>
    <row r="10" spans="1:18" ht="13">
      <c r="A10" s="104" t="s">
        <v>7</v>
      </c>
      <c r="B10" s="82"/>
      <c r="C10" s="95" t="s">
        <v>8</v>
      </c>
      <c r="D10" s="82"/>
      <c r="E10" s="82"/>
      <c r="F10" s="82"/>
      <c r="G10" s="82"/>
      <c r="H10" s="85"/>
      <c r="I10" s="1"/>
      <c r="J10" s="1"/>
      <c r="K10" s="1"/>
      <c r="L10" s="1"/>
      <c r="M10" s="1"/>
      <c r="N10" s="1"/>
      <c r="O10" s="1"/>
      <c r="P10" s="1"/>
      <c r="Q10" s="1"/>
      <c r="R10" s="1"/>
    </row>
    <row r="11" spans="1:18" ht="13">
      <c r="A11" s="104" t="s">
        <v>9</v>
      </c>
      <c r="B11" s="82"/>
      <c r="C11" s="95" t="s">
        <v>10</v>
      </c>
      <c r="D11" s="82"/>
      <c r="E11" s="82"/>
      <c r="F11" s="82"/>
      <c r="G11" s="82"/>
      <c r="H11" s="85"/>
      <c r="I11" s="1"/>
      <c r="J11" s="1"/>
      <c r="K11" s="1"/>
      <c r="L11" s="1"/>
      <c r="M11" s="1"/>
      <c r="N11" s="1"/>
      <c r="O11" s="1"/>
      <c r="P11" s="1"/>
      <c r="Q11" s="1"/>
      <c r="R11" s="1"/>
    </row>
    <row r="12" spans="1:18" ht="19">
      <c r="A12" s="96"/>
      <c r="B12" s="82"/>
      <c r="C12" s="82"/>
      <c r="D12" s="82"/>
      <c r="E12" s="82"/>
      <c r="F12" s="82"/>
      <c r="G12" s="82"/>
      <c r="H12" s="85"/>
      <c r="I12" s="1"/>
      <c r="J12" s="1"/>
      <c r="K12" s="1"/>
      <c r="L12" s="1"/>
      <c r="M12" s="1"/>
      <c r="N12" s="1"/>
      <c r="O12" s="1"/>
      <c r="P12" s="1"/>
      <c r="Q12" s="1"/>
      <c r="R12" s="1"/>
    </row>
    <row r="13" spans="1:18" ht="23" customHeight="1">
      <c r="A13" s="97" t="s">
        <v>11</v>
      </c>
      <c r="B13" s="88"/>
      <c r="C13" s="88"/>
      <c r="D13" s="88"/>
      <c r="E13" s="88"/>
      <c r="F13" s="88"/>
      <c r="G13" s="88"/>
      <c r="H13" s="89"/>
      <c r="I13" s="1"/>
      <c r="J13" s="1"/>
      <c r="K13" s="1"/>
      <c r="L13" s="1"/>
      <c r="M13" s="1"/>
      <c r="N13" s="1"/>
      <c r="O13" s="1"/>
      <c r="P13" s="1"/>
      <c r="Q13" s="1"/>
      <c r="R13" s="1"/>
    </row>
    <row r="14" spans="1:18" ht="21" customHeight="1">
      <c r="A14" s="97" t="s">
        <v>12</v>
      </c>
      <c r="B14" s="100"/>
      <c r="C14" s="98" t="s">
        <v>13</v>
      </c>
      <c r="D14" s="88"/>
      <c r="E14" s="88"/>
      <c r="F14" s="88"/>
      <c r="G14" s="88"/>
      <c r="H14" s="89"/>
      <c r="I14" s="1"/>
      <c r="J14" s="1"/>
      <c r="K14" s="1"/>
      <c r="L14" s="1"/>
      <c r="M14" s="1"/>
      <c r="N14" s="1"/>
      <c r="O14" s="1"/>
      <c r="P14" s="1"/>
      <c r="Q14" s="1"/>
      <c r="R14" s="1"/>
    </row>
    <row r="15" spans="1:18" ht="25" customHeight="1">
      <c r="A15" s="99" t="s">
        <v>14</v>
      </c>
      <c r="B15" s="100"/>
      <c r="C15" s="87" t="s">
        <v>15</v>
      </c>
      <c r="D15" s="88"/>
      <c r="E15" s="88"/>
      <c r="F15" s="88"/>
      <c r="G15" s="88"/>
      <c r="H15" s="89"/>
      <c r="I15" s="1"/>
      <c r="J15" s="1"/>
      <c r="K15" s="1"/>
      <c r="L15" s="1"/>
      <c r="M15" s="1"/>
      <c r="N15" s="1"/>
      <c r="O15" s="1"/>
      <c r="P15" s="1"/>
      <c r="Q15" s="1"/>
      <c r="R15" s="1"/>
    </row>
    <row r="16" spans="1:18" ht="19">
      <c r="A16" s="101"/>
      <c r="B16" s="82"/>
      <c r="C16" s="90"/>
      <c r="D16" s="82"/>
      <c r="E16" s="82"/>
      <c r="F16" s="82"/>
      <c r="G16" s="82"/>
      <c r="H16" s="85"/>
      <c r="I16" s="1"/>
      <c r="J16" s="1"/>
      <c r="K16" s="1"/>
      <c r="L16" s="1"/>
      <c r="M16" s="1"/>
      <c r="N16" s="1"/>
      <c r="O16" s="1"/>
      <c r="P16" s="1"/>
      <c r="Q16" s="1"/>
      <c r="R16" s="1"/>
    </row>
    <row r="17" spans="1:18" ht="13">
      <c r="A17" s="102" t="s">
        <v>16</v>
      </c>
      <c r="B17" s="82"/>
      <c r="C17" s="91" t="s">
        <v>17</v>
      </c>
      <c r="D17" s="82"/>
      <c r="E17" s="82"/>
      <c r="F17" s="82"/>
      <c r="G17" s="82"/>
      <c r="H17" s="85"/>
      <c r="I17" s="1"/>
      <c r="J17" s="1"/>
      <c r="K17" s="1"/>
      <c r="L17" s="1"/>
      <c r="M17" s="1"/>
      <c r="N17" s="1"/>
      <c r="O17" s="1"/>
      <c r="P17" s="1"/>
      <c r="Q17" s="1"/>
      <c r="R17" s="1"/>
    </row>
    <row r="18" spans="1:18" ht="25" customHeight="1">
      <c r="A18" s="103" t="s">
        <v>18</v>
      </c>
      <c r="B18" s="93"/>
      <c r="C18" s="92">
        <v>45991</v>
      </c>
      <c r="D18" s="93"/>
      <c r="E18" s="93"/>
      <c r="F18" s="93"/>
      <c r="G18" s="93"/>
      <c r="H18" s="94"/>
      <c r="I18" s="1"/>
      <c r="J18" s="1"/>
      <c r="K18" s="1"/>
      <c r="L18" s="1"/>
      <c r="M18" s="1"/>
      <c r="N18" s="1"/>
      <c r="O18" s="1"/>
      <c r="P18" s="1"/>
      <c r="Q18" s="1"/>
      <c r="R18" s="1"/>
    </row>
    <row r="19" spans="1:18" ht="13">
      <c r="A19" s="2"/>
      <c r="B19" s="2"/>
      <c r="C19" s="1"/>
      <c r="D19" s="1"/>
      <c r="E19" s="1"/>
      <c r="F19" s="1"/>
      <c r="G19" s="1"/>
      <c r="H19" s="1"/>
      <c r="I19" s="1"/>
      <c r="J19" s="1"/>
      <c r="K19" s="1"/>
      <c r="L19" s="1"/>
      <c r="M19" s="1"/>
      <c r="N19" s="1"/>
      <c r="O19" s="1"/>
      <c r="P19" s="1"/>
      <c r="Q19" s="1"/>
      <c r="R19" s="1"/>
    </row>
    <row r="20" spans="1:18" ht="13">
      <c r="A20" s="1"/>
      <c r="B20" s="1"/>
      <c r="C20" s="1"/>
      <c r="D20" s="1"/>
      <c r="E20" s="1"/>
      <c r="F20" s="1"/>
      <c r="G20" s="1"/>
      <c r="H20" s="1"/>
      <c r="I20" s="1"/>
      <c r="J20" s="1"/>
      <c r="K20" s="1"/>
      <c r="L20" s="1"/>
      <c r="M20" s="1"/>
      <c r="N20" s="1"/>
      <c r="O20" s="1"/>
      <c r="P20" s="1"/>
      <c r="Q20" s="1"/>
      <c r="R20" s="1"/>
    </row>
    <row r="21" spans="1:18" ht="13">
      <c r="A21" s="1"/>
      <c r="B21" s="1"/>
      <c r="C21" s="1"/>
      <c r="D21" s="1"/>
      <c r="E21" s="1"/>
      <c r="F21" s="1"/>
      <c r="G21" s="1"/>
      <c r="H21" s="1"/>
      <c r="I21" s="1"/>
      <c r="J21" s="1"/>
      <c r="K21" s="1"/>
      <c r="L21" s="1"/>
      <c r="M21" s="1"/>
      <c r="N21" s="1"/>
      <c r="O21" s="1"/>
      <c r="P21" s="1"/>
      <c r="Q21" s="1"/>
      <c r="R21" s="1"/>
    </row>
    <row r="22" spans="1:18" ht="13">
      <c r="A22" s="1"/>
      <c r="B22" s="1"/>
      <c r="C22" s="1"/>
      <c r="D22" s="1"/>
      <c r="E22" s="1"/>
      <c r="F22" s="1"/>
      <c r="G22" s="1"/>
      <c r="H22" s="1"/>
      <c r="I22" s="1"/>
      <c r="J22" s="1"/>
      <c r="K22" s="1"/>
      <c r="L22" s="1"/>
      <c r="M22" s="1"/>
      <c r="N22" s="1"/>
      <c r="O22" s="1"/>
      <c r="P22" s="1"/>
      <c r="Q22" s="1"/>
      <c r="R22" s="1"/>
    </row>
    <row r="23" spans="1:18" ht="13">
      <c r="A23" s="1"/>
      <c r="B23" s="1"/>
      <c r="C23" s="1"/>
      <c r="D23" s="1"/>
      <c r="E23" s="1"/>
      <c r="F23" s="1"/>
      <c r="G23" s="1"/>
      <c r="H23" s="1"/>
      <c r="I23" s="1"/>
      <c r="J23" s="1"/>
      <c r="K23" s="1"/>
      <c r="L23" s="1"/>
      <c r="M23" s="1"/>
      <c r="N23" s="1"/>
      <c r="O23" s="1"/>
      <c r="P23" s="1"/>
      <c r="Q23" s="1"/>
      <c r="R23" s="1"/>
    </row>
    <row r="24" spans="1:18" ht="13">
      <c r="A24" s="1"/>
      <c r="B24" s="1"/>
      <c r="C24" s="1"/>
      <c r="D24" s="1"/>
      <c r="E24" s="1"/>
      <c r="F24" s="1"/>
      <c r="G24" s="1"/>
      <c r="H24" s="1"/>
      <c r="I24" s="1"/>
      <c r="J24" s="1"/>
      <c r="K24" s="1"/>
      <c r="L24" s="1"/>
      <c r="M24" s="1"/>
      <c r="N24" s="1"/>
      <c r="O24" s="1"/>
      <c r="P24" s="1"/>
      <c r="Q24" s="1"/>
      <c r="R24" s="1"/>
    </row>
    <row r="25" spans="1:18" ht="13">
      <c r="A25" s="1"/>
      <c r="B25" s="1"/>
      <c r="C25" s="1"/>
      <c r="D25" s="1"/>
      <c r="E25" s="1"/>
      <c r="F25" s="1"/>
      <c r="G25" s="1"/>
      <c r="H25" s="1"/>
      <c r="I25" s="1"/>
      <c r="J25" s="1"/>
      <c r="K25" s="1"/>
      <c r="L25" s="1"/>
      <c r="M25" s="1"/>
      <c r="N25" s="1"/>
      <c r="O25" s="1"/>
      <c r="P25" s="1"/>
      <c r="Q25" s="1"/>
      <c r="R25" s="1"/>
    </row>
    <row r="26" spans="1:18" ht="13">
      <c r="A26" s="1"/>
      <c r="B26" s="1"/>
      <c r="C26" s="1"/>
      <c r="D26" s="1"/>
      <c r="E26" s="1"/>
      <c r="F26" s="1"/>
      <c r="G26" s="1"/>
      <c r="H26" s="1"/>
      <c r="I26" s="1"/>
      <c r="J26" s="1"/>
      <c r="K26" s="1"/>
      <c r="L26" s="1"/>
      <c r="M26" s="1"/>
      <c r="N26" s="1"/>
      <c r="O26" s="1"/>
      <c r="P26" s="1"/>
      <c r="Q26" s="1"/>
      <c r="R26" s="1"/>
    </row>
    <row r="27" spans="1:18" ht="13">
      <c r="A27" s="1"/>
      <c r="B27" s="1"/>
      <c r="C27" s="1"/>
      <c r="D27" s="1"/>
      <c r="E27" s="1"/>
      <c r="F27" s="1"/>
      <c r="G27" s="1"/>
      <c r="H27" s="1"/>
      <c r="I27" s="1"/>
      <c r="J27" s="1"/>
      <c r="K27" s="1"/>
      <c r="L27" s="1"/>
      <c r="M27" s="1"/>
      <c r="N27" s="1"/>
      <c r="O27" s="1"/>
      <c r="P27" s="1"/>
      <c r="Q27" s="1"/>
      <c r="R27" s="1"/>
    </row>
    <row r="28" spans="1:18" ht="13">
      <c r="A28" s="1"/>
      <c r="B28" s="1"/>
      <c r="C28" s="1"/>
      <c r="D28" s="1"/>
      <c r="E28" s="1"/>
      <c r="F28" s="1"/>
      <c r="G28" s="1"/>
      <c r="H28" s="1"/>
      <c r="I28" s="1"/>
      <c r="J28" s="1"/>
      <c r="K28" s="1"/>
      <c r="L28" s="1"/>
      <c r="M28" s="1"/>
      <c r="N28" s="1"/>
      <c r="O28" s="1"/>
      <c r="P28" s="1"/>
      <c r="Q28" s="1"/>
      <c r="R28" s="1"/>
    </row>
    <row r="29" spans="1:18" ht="13">
      <c r="A29" s="1"/>
      <c r="B29" s="1"/>
      <c r="C29" s="1"/>
      <c r="D29" s="1"/>
      <c r="E29" s="1"/>
      <c r="F29" s="1"/>
      <c r="G29" s="1"/>
      <c r="H29" s="1"/>
      <c r="I29" s="1"/>
      <c r="J29" s="1"/>
      <c r="K29" s="1"/>
      <c r="L29" s="1"/>
      <c r="M29" s="1"/>
      <c r="N29" s="1"/>
      <c r="O29" s="1"/>
      <c r="P29" s="1"/>
      <c r="Q29" s="1"/>
      <c r="R29" s="1"/>
    </row>
    <row r="30" spans="1:18" ht="13">
      <c r="A30" s="1"/>
      <c r="B30" s="1"/>
      <c r="C30" s="1"/>
      <c r="D30" s="1"/>
      <c r="E30" s="1"/>
      <c r="F30" s="1"/>
      <c r="G30" s="1"/>
      <c r="H30" s="1"/>
      <c r="I30" s="1"/>
      <c r="J30" s="1"/>
      <c r="K30" s="1"/>
      <c r="L30" s="1"/>
      <c r="M30" s="1"/>
      <c r="N30" s="1"/>
      <c r="O30" s="1"/>
      <c r="P30" s="1"/>
      <c r="Q30" s="1"/>
      <c r="R30" s="1"/>
    </row>
    <row r="31" spans="1:18" ht="13">
      <c r="A31" s="1"/>
      <c r="B31" s="1"/>
      <c r="C31" s="1"/>
      <c r="D31" s="1"/>
      <c r="E31" s="1"/>
      <c r="F31" s="1"/>
      <c r="G31" s="1"/>
      <c r="H31" s="1"/>
      <c r="I31" s="1"/>
      <c r="J31" s="1"/>
      <c r="K31" s="1"/>
      <c r="L31" s="1"/>
      <c r="M31" s="1"/>
      <c r="N31" s="1"/>
      <c r="O31" s="1"/>
      <c r="P31" s="1"/>
      <c r="Q31" s="1"/>
      <c r="R31" s="1"/>
    </row>
    <row r="32" spans="1:18" ht="13">
      <c r="A32" s="1"/>
      <c r="B32" s="1"/>
      <c r="C32" s="1"/>
      <c r="D32" s="1"/>
      <c r="E32" s="1"/>
      <c r="F32" s="1"/>
      <c r="G32" s="1"/>
      <c r="H32" s="1"/>
      <c r="I32" s="1"/>
      <c r="J32" s="1"/>
      <c r="K32" s="1"/>
      <c r="L32" s="1"/>
      <c r="M32" s="1"/>
      <c r="N32" s="1"/>
      <c r="O32" s="1"/>
      <c r="P32" s="1"/>
      <c r="Q32" s="1"/>
      <c r="R32" s="1"/>
    </row>
    <row r="33" spans="1:18" ht="13">
      <c r="A33" s="1"/>
      <c r="B33" s="1"/>
      <c r="C33" s="1"/>
      <c r="D33" s="1"/>
      <c r="E33" s="1"/>
      <c r="F33" s="1"/>
      <c r="G33" s="1"/>
      <c r="H33" s="1"/>
      <c r="I33" s="1"/>
      <c r="J33" s="1"/>
      <c r="K33" s="1"/>
      <c r="L33" s="1"/>
      <c r="M33" s="1"/>
      <c r="N33" s="1"/>
      <c r="O33" s="1"/>
      <c r="P33" s="1"/>
      <c r="Q33" s="1"/>
      <c r="R33" s="1"/>
    </row>
    <row r="34" spans="1:18" ht="13">
      <c r="A34" s="1"/>
      <c r="B34" s="1"/>
      <c r="C34" s="1"/>
      <c r="D34" s="1"/>
      <c r="E34" s="1"/>
      <c r="F34" s="1"/>
      <c r="G34" s="1"/>
      <c r="H34" s="1"/>
      <c r="I34" s="1"/>
      <c r="J34" s="1"/>
      <c r="K34" s="1"/>
      <c r="L34" s="1"/>
      <c r="M34" s="1"/>
      <c r="N34" s="1"/>
      <c r="O34" s="1"/>
      <c r="P34" s="1"/>
      <c r="Q34" s="1"/>
      <c r="R34" s="1"/>
    </row>
    <row r="35" spans="1:18" ht="13">
      <c r="A35" s="1"/>
      <c r="B35" s="1"/>
      <c r="C35" s="1"/>
      <c r="D35" s="1"/>
      <c r="E35" s="1"/>
      <c r="F35" s="1"/>
      <c r="G35" s="1"/>
      <c r="H35" s="1"/>
      <c r="I35" s="1"/>
      <c r="J35" s="1"/>
      <c r="K35" s="1"/>
      <c r="L35" s="1"/>
      <c r="M35" s="1"/>
      <c r="N35" s="1"/>
      <c r="O35" s="1"/>
      <c r="P35" s="1"/>
      <c r="Q35" s="1"/>
      <c r="R35" s="1"/>
    </row>
    <row r="36" spans="1:18" ht="13">
      <c r="A36" s="1"/>
      <c r="B36" s="1"/>
      <c r="C36" s="1"/>
      <c r="D36" s="1"/>
      <c r="E36" s="1"/>
      <c r="F36" s="1"/>
      <c r="G36" s="1"/>
      <c r="H36" s="1"/>
      <c r="I36" s="1"/>
      <c r="J36" s="1"/>
      <c r="K36" s="1"/>
      <c r="L36" s="1"/>
      <c r="M36" s="1"/>
      <c r="N36" s="1"/>
      <c r="O36" s="1"/>
      <c r="P36" s="1"/>
      <c r="Q36" s="1"/>
      <c r="R36" s="1"/>
    </row>
    <row r="37" spans="1:18" ht="13">
      <c r="A37" s="1"/>
      <c r="B37" s="1"/>
      <c r="C37" s="1"/>
      <c r="D37" s="1"/>
      <c r="E37" s="1"/>
      <c r="F37" s="1"/>
      <c r="G37" s="1"/>
      <c r="H37" s="1"/>
      <c r="I37" s="1"/>
      <c r="J37" s="1"/>
      <c r="K37" s="1"/>
      <c r="L37" s="1"/>
      <c r="M37" s="1"/>
      <c r="N37" s="1"/>
      <c r="O37" s="1"/>
      <c r="P37" s="1"/>
      <c r="Q37" s="1"/>
      <c r="R37" s="1"/>
    </row>
    <row r="38" spans="1:18" ht="13">
      <c r="A38" s="1"/>
      <c r="B38" s="1"/>
      <c r="C38" s="1"/>
      <c r="D38" s="1"/>
      <c r="E38" s="1"/>
      <c r="F38" s="1"/>
      <c r="G38" s="1"/>
      <c r="H38" s="1"/>
      <c r="I38" s="1"/>
      <c r="J38" s="1"/>
      <c r="K38" s="1"/>
      <c r="L38" s="1"/>
      <c r="M38" s="1"/>
      <c r="N38" s="1"/>
      <c r="O38" s="1"/>
      <c r="P38" s="1"/>
      <c r="Q38" s="1"/>
      <c r="R38" s="1"/>
    </row>
    <row r="39" spans="1:18" ht="13">
      <c r="A39" s="1"/>
      <c r="B39" s="1"/>
      <c r="C39" s="1"/>
      <c r="D39" s="1"/>
      <c r="E39" s="1"/>
      <c r="F39" s="1"/>
      <c r="G39" s="1"/>
      <c r="H39" s="1"/>
      <c r="I39" s="1"/>
      <c r="J39" s="1"/>
      <c r="K39" s="1"/>
      <c r="L39" s="1"/>
      <c r="M39" s="1"/>
      <c r="N39" s="1"/>
      <c r="O39" s="1"/>
      <c r="P39" s="1"/>
      <c r="Q39" s="1"/>
      <c r="R39" s="1"/>
    </row>
    <row r="40" spans="1:18" ht="13">
      <c r="A40" s="1"/>
      <c r="B40" s="1"/>
      <c r="C40" s="1"/>
      <c r="D40" s="1"/>
      <c r="E40" s="1"/>
      <c r="F40" s="1"/>
      <c r="G40" s="1"/>
      <c r="H40" s="1"/>
      <c r="I40" s="1"/>
      <c r="J40" s="1"/>
      <c r="K40" s="1"/>
      <c r="L40" s="1"/>
      <c r="M40" s="1"/>
      <c r="N40" s="1"/>
      <c r="O40" s="1"/>
      <c r="P40" s="1"/>
      <c r="Q40" s="1"/>
      <c r="R40" s="1"/>
    </row>
    <row r="41" spans="1:18" ht="13">
      <c r="A41" s="1"/>
      <c r="B41" s="1"/>
      <c r="C41" s="1"/>
      <c r="D41" s="1"/>
      <c r="E41" s="1"/>
      <c r="F41" s="1"/>
      <c r="G41" s="1"/>
      <c r="H41" s="1"/>
      <c r="I41" s="1"/>
      <c r="J41" s="1"/>
      <c r="K41" s="1"/>
      <c r="L41" s="1"/>
      <c r="M41" s="1"/>
      <c r="N41" s="1"/>
      <c r="O41" s="1"/>
      <c r="P41" s="1"/>
      <c r="Q41" s="1"/>
      <c r="R41" s="1"/>
    </row>
    <row r="42" spans="1:18" ht="13">
      <c r="A42" s="1"/>
      <c r="B42" s="1"/>
      <c r="C42" s="1"/>
      <c r="D42" s="1"/>
      <c r="E42" s="1"/>
      <c r="F42" s="1"/>
      <c r="G42" s="1"/>
      <c r="H42" s="1"/>
      <c r="I42" s="1"/>
      <c r="J42" s="1"/>
      <c r="K42" s="1"/>
      <c r="L42" s="1"/>
      <c r="M42" s="1"/>
      <c r="N42" s="1"/>
      <c r="O42" s="1"/>
      <c r="P42" s="1"/>
      <c r="Q42" s="1"/>
      <c r="R42" s="1"/>
    </row>
    <row r="43" spans="1:18" ht="13">
      <c r="A43" s="1"/>
      <c r="B43" s="1"/>
      <c r="C43" s="1"/>
      <c r="D43" s="1"/>
      <c r="E43" s="1"/>
      <c r="F43" s="1"/>
      <c r="G43" s="1"/>
      <c r="H43" s="1"/>
      <c r="I43" s="1"/>
      <c r="J43" s="1"/>
      <c r="K43" s="1"/>
      <c r="L43" s="1"/>
      <c r="M43" s="1"/>
      <c r="N43" s="1"/>
      <c r="O43" s="1"/>
      <c r="P43" s="1"/>
      <c r="Q43" s="1"/>
      <c r="R43" s="1"/>
    </row>
    <row r="44" spans="1:18" ht="13">
      <c r="A44" s="1"/>
      <c r="B44" s="1"/>
      <c r="C44" s="1"/>
      <c r="D44" s="1"/>
      <c r="E44" s="1"/>
      <c r="F44" s="1"/>
      <c r="G44" s="1"/>
      <c r="H44" s="1"/>
      <c r="I44" s="1"/>
      <c r="J44" s="1"/>
      <c r="K44" s="1"/>
      <c r="L44" s="1"/>
      <c r="M44" s="1"/>
      <c r="N44" s="1"/>
      <c r="O44" s="1"/>
      <c r="P44" s="1"/>
      <c r="Q44" s="1"/>
      <c r="R44" s="1"/>
    </row>
    <row r="45" spans="1:18" ht="13">
      <c r="A45" s="1"/>
      <c r="B45" s="1"/>
      <c r="C45" s="1"/>
      <c r="D45" s="1"/>
      <c r="E45" s="1"/>
      <c r="F45" s="1"/>
      <c r="G45" s="1"/>
      <c r="H45" s="1"/>
      <c r="I45" s="1"/>
      <c r="J45" s="1"/>
      <c r="K45" s="1"/>
      <c r="L45" s="1"/>
      <c r="M45" s="1"/>
      <c r="N45" s="1"/>
      <c r="O45" s="1"/>
      <c r="P45" s="1"/>
      <c r="Q45" s="1"/>
      <c r="R45" s="1"/>
    </row>
    <row r="46" spans="1:18" ht="13">
      <c r="A46" s="1"/>
      <c r="B46" s="1"/>
      <c r="C46" s="1"/>
      <c r="D46" s="1"/>
      <c r="E46" s="1"/>
      <c r="F46" s="1"/>
      <c r="G46" s="1"/>
      <c r="H46" s="1"/>
      <c r="I46" s="1"/>
      <c r="J46" s="1"/>
      <c r="K46" s="1"/>
      <c r="L46" s="1"/>
      <c r="M46" s="1"/>
      <c r="N46" s="1"/>
      <c r="O46" s="1"/>
      <c r="P46" s="1"/>
      <c r="Q46" s="1"/>
      <c r="R46" s="1"/>
    </row>
    <row r="47" spans="1:18" ht="13">
      <c r="A47" s="1"/>
      <c r="B47" s="1"/>
      <c r="C47" s="1"/>
      <c r="D47" s="1"/>
      <c r="E47" s="1"/>
      <c r="F47" s="1"/>
      <c r="G47" s="1"/>
      <c r="H47" s="1"/>
      <c r="I47" s="1"/>
      <c r="J47" s="1"/>
      <c r="K47" s="1"/>
      <c r="L47" s="1"/>
      <c r="M47" s="1"/>
      <c r="N47" s="1"/>
      <c r="O47" s="1"/>
      <c r="P47" s="1"/>
      <c r="Q47" s="1"/>
      <c r="R47" s="1"/>
    </row>
    <row r="48" spans="1:18" ht="13">
      <c r="A48" s="1"/>
      <c r="B48" s="1"/>
      <c r="C48" s="1"/>
      <c r="D48" s="1"/>
      <c r="E48" s="1"/>
      <c r="F48" s="1"/>
      <c r="G48" s="1"/>
      <c r="H48" s="1"/>
      <c r="I48" s="1"/>
      <c r="J48" s="1"/>
      <c r="K48" s="1"/>
      <c r="L48" s="1"/>
      <c r="M48" s="1"/>
      <c r="N48" s="1"/>
      <c r="O48" s="1"/>
      <c r="P48" s="1"/>
      <c r="Q48" s="1"/>
      <c r="R48" s="1"/>
    </row>
    <row r="49" spans="1:18" ht="13">
      <c r="A49" s="1"/>
      <c r="B49" s="1"/>
      <c r="C49" s="1"/>
      <c r="D49" s="1"/>
      <c r="E49" s="1"/>
      <c r="F49" s="1"/>
      <c r="G49" s="1"/>
      <c r="H49" s="1"/>
      <c r="I49" s="1"/>
      <c r="J49" s="1"/>
      <c r="K49" s="1"/>
      <c r="L49" s="1"/>
      <c r="M49" s="1"/>
      <c r="N49" s="1"/>
      <c r="O49" s="1"/>
      <c r="P49" s="1"/>
      <c r="Q49" s="1"/>
      <c r="R49" s="1"/>
    </row>
    <row r="50" spans="1:18" ht="13">
      <c r="A50" s="1"/>
      <c r="B50" s="1"/>
      <c r="C50" s="1"/>
      <c r="D50" s="1"/>
      <c r="E50" s="1"/>
      <c r="F50" s="1"/>
      <c r="G50" s="1"/>
      <c r="H50" s="1"/>
      <c r="I50" s="1"/>
      <c r="J50" s="1"/>
      <c r="K50" s="1"/>
      <c r="L50" s="1"/>
      <c r="M50" s="1"/>
      <c r="N50" s="1"/>
      <c r="O50" s="1"/>
      <c r="P50" s="1"/>
      <c r="Q50" s="1"/>
      <c r="R50" s="1"/>
    </row>
    <row r="51" spans="1:18" ht="13">
      <c r="A51" s="1"/>
      <c r="B51" s="1"/>
      <c r="C51" s="1"/>
      <c r="D51" s="1"/>
      <c r="E51" s="1"/>
      <c r="F51" s="1"/>
      <c r="G51" s="1"/>
      <c r="H51" s="1"/>
      <c r="I51" s="1"/>
      <c r="J51" s="1"/>
      <c r="K51" s="1"/>
      <c r="L51" s="1"/>
      <c r="M51" s="1"/>
      <c r="N51" s="1"/>
      <c r="O51" s="1"/>
      <c r="P51" s="1"/>
      <c r="Q51" s="1"/>
      <c r="R51" s="1"/>
    </row>
    <row r="52" spans="1:18" ht="13">
      <c r="A52" s="1"/>
      <c r="B52" s="1"/>
      <c r="C52" s="1"/>
      <c r="D52" s="1"/>
      <c r="E52" s="1"/>
      <c r="F52" s="1"/>
      <c r="G52" s="1"/>
      <c r="H52" s="1"/>
      <c r="I52" s="1"/>
      <c r="J52" s="1"/>
      <c r="K52" s="1"/>
      <c r="L52" s="1"/>
      <c r="M52" s="1"/>
      <c r="N52" s="1"/>
      <c r="O52" s="1"/>
      <c r="P52" s="1"/>
      <c r="Q52" s="1"/>
      <c r="R52" s="1"/>
    </row>
    <row r="53" spans="1:18" ht="13">
      <c r="A53" s="1"/>
      <c r="B53" s="1"/>
      <c r="C53" s="1"/>
      <c r="D53" s="1"/>
      <c r="E53" s="1"/>
      <c r="F53" s="1"/>
      <c r="G53" s="1"/>
      <c r="H53" s="1"/>
      <c r="I53" s="1"/>
      <c r="J53" s="1"/>
      <c r="K53" s="1"/>
      <c r="L53" s="1"/>
      <c r="M53" s="1"/>
      <c r="N53" s="1"/>
      <c r="O53" s="1"/>
      <c r="P53" s="1"/>
      <c r="Q53" s="1"/>
      <c r="R53" s="1"/>
    </row>
    <row r="54" spans="1:18" ht="13">
      <c r="A54" s="1"/>
      <c r="B54" s="1"/>
      <c r="C54" s="1"/>
      <c r="D54" s="1"/>
      <c r="E54" s="1"/>
      <c r="F54" s="1"/>
      <c r="G54" s="1"/>
      <c r="H54" s="1"/>
      <c r="I54" s="1"/>
      <c r="J54" s="1"/>
      <c r="K54" s="1"/>
      <c r="L54" s="1"/>
      <c r="M54" s="1"/>
      <c r="N54" s="1"/>
      <c r="O54" s="1"/>
      <c r="P54" s="1"/>
      <c r="Q54" s="1"/>
      <c r="R54" s="1"/>
    </row>
    <row r="55" spans="1:18" ht="13">
      <c r="A55" s="1"/>
      <c r="B55" s="1"/>
      <c r="C55" s="1"/>
      <c r="D55" s="1"/>
      <c r="E55" s="1"/>
      <c r="F55" s="1"/>
      <c r="G55" s="1"/>
      <c r="H55" s="1"/>
      <c r="I55" s="1"/>
      <c r="J55" s="1"/>
      <c r="K55" s="1"/>
      <c r="L55" s="1"/>
      <c r="M55" s="1"/>
      <c r="N55" s="1"/>
      <c r="O55" s="1"/>
      <c r="P55" s="1"/>
      <c r="Q55" s="1"/>
      <c r="R55" s="1"/>
    </row>
    <row r="56" spans="1:18" ht="13">
      <c r="A56" s="1"/>
      <c r="B56" s="1"/>
      <c r="C56" s="1"/>
      <c r="D56" s="1"/>
      <c r="E56" s="1"/>
      <c r="F56" s="1"/>
      <c r="G56" s="1"/>
      <c r="H56" s="1"/>
      <c r="I56" s="1"/>
      <c r="J56" s="1"/>
      <c r="K56" s="1"/>
      <c r="L56" s="1"/>
      <c r="M56" s="1"/>
      <c r="N56" s="1"/>
      <c r="O56" s="1"/>
      <c r="P56" s="1"/>
      <c r="Q56" s="1"/>
      <c r="R56" s="1"/>
    </row>
    <row r="57" spans="1:18" ht="13">
      <c r="A57" s="1"/>
      <c r="B57" s="1"/>
      <c r="C57" s="1"/>
      <c r="D57" s="1"/>
      <c r="E57" s="1"/>
      <c r="F57" s="1"/>
      <c r="G57" s="1"/>
      <c r="H57" s="1"/>
      <c r="I57" s="1"/>
      <c r="J57" s="1"/>
      <c r="K57" s="1"/>
      <c r="L57" s="1"/>
      <c r="M57" s="1"/>
      <c r="N57" s="1"/>
      <c r="O57" s="1"/>
      <c r="P57" s="1"/>
      <c r="Q57" s="1"/>
      <c r="R57" s="1"/>
    </row>
    <row r="58" spans="1:18" ht="13">
      <c r="A58" s="1"/>
      <c r="B58" s="1"/>
      <c r="C58" s="1"/>
      <c r="D58" s="1"/>
      <c r="E58" s="1"/>
      <c r="F58" s="1"/>
      <c r="G58" s="1"/>
      <c r="H58" s="1"/>
      <c r="I58" s="1"/>
      <c r="J58" s="1"/>
      <c r="K58" s="1"/>
      <c r="L58" s="1"/>
      <c r="M58" s="1"/>
      <c r="N58" s="1"/>
      <c r="O58" s="1"/>
      <c r="P58" s="1"/>
      <c r="Q58" s="1"/>
      <c r="R58" s="1"/>
    </row>
    <row r="59" spans="1:18" ht="13">
      <c r="A59" s="1"/>
      <c r="B59" s="1"/>
      <c r="C59" s="1"/>
      <c r="D59" s="1"/>
      <c r="E59" s="1"/>
      <c r="F59" s="1"/>
      <c r="G59" s="1"/>
      <c r="H59" s="1"/>
      <c r="I59" s="1"/>
      <c r="J59" s="1"/>
      <c r="K59" s="1"/>
      <c r="L59" s="1"/>
      <c r="M59" s="1"/>
      <c r="N59" s="1"/>
      <c r="O59" s="1"/>
      <c r="P59" s="1"/>
      <c r="Q59" s="1"/>
      <c r="R59" s="1"/>
    </row>
    <row r="60" spans="1:18" ht="13">
      <c r="A60" s="1"/>
      <c r="B60" s="1"/>
      <c r="C60" s="1"/>
      <c r="D60" s="1"/>
      <c r="E60" s="1"/>
      <c r="F60" s="1"/>
      <c r="G60" s="1"/>
      <c r="H60" s="1"/>
      <c r="I60" s="1"/>
      <c r="J60" s="1"/>
      <c r="K60" s="1"/>
      <c r="L60" s="1"/>
      <c r="M60" s="1"/>
      <c r="N60" s="1"/>
      <c r="O60" s="1"/>
      <c r="P60" s="1"/>
      <c r="Q60" s="1"/>
      <c r="R60" s="1"/>
    </row>
    <row r="61" spans="1:18" ht="13">
      <c r="A61" s="1"/>
      <c r="B61" s="1"/>
      <c r="C61" s="1"/>
      <c r="D61" s="1"/>
      <c r="E61" s="1"/>
      <c r="F61" s="1"/>
      <c r="G61" s="1"/>
      <c r="H61" s="1"/>
      <c r="I61" s="1"/>
      <c r="J61" s="1"/>
      <c r="K61" s="1"/>
      <c r="L61" s="1"/>
      <c r="M61" s="1"/>
      <c r="N61" s="1"/>
      <c r="O61" s="1"/>
      <c r="P61" s="1"/>
      <c r="Q61" s="1"/>
      <c r="R61" s="1"/>
    </row>
    <row r="62" spans="1:18" ht="13">
      <c r="A62" s="1"/>
      <c r="B62" s="1"/>
      <c r="C62" s="1"/>
      <c r="D62" s="1"/>
      <c r="E62" s="1"/>
      <c r="F62" s="1"/>
      <c r="G62" s="1"/>
      <c r="H62" s="1"/>
      <c r="I62" s="1"/>
      <c r="J62" s="1"/>
      <c r="K62" s="1"/>
      <c r="L62" s="1"/>
      <c r="M62" s="1"/>
      <c r="N62" s="1"/>
      <c r="O62" s="1"/>
      <c r="P62" s="1"/>
      <c r="Q62" s="1"/>
      <c r="R62" s="1"/>
    </row>
    <row r="63" spans="1:18" ht="13">
      <c r="A63" s="1"/>
      <c r="B63" s="1"/>
      <c r="C63" s="1"/>
      <c r="D63" s="1"/>
      <c r="E63" s="1"/>
      <c r="F63" s="1"/>
      <c r="G63" s="1"/>
      <c r="H63" s="1"/>
      <c r="I63" s="1"/>
      <c r="J63" s="1"/>
      <c r="K63" s="1"/>
      <c r="L63" s="1"/>
      <c r="M63" s="1"/>
      <c r="N63" s="1"/>
      <c r="O63" s="1"/>
      <c r="P63" s="1"/>
      <c r="Q63" s="1"/>
      <c r="R63" s="1"/>
    </row>
    <row r="64" spans="1:18" ht="13">
      <c r="A64" s="1"/>
      <c r="B64" s="1"/>
      <c r="C64" s="1"/>
      <c r="D64" s="1"/>
      <c r="E64" s="1"/>
      <c r="F64" s="1"/>
      <c r="G64" s="1"/>
      <c r="H64" s="1"/>
      <c r="I64" s="1"/>
      <c r="J64" s="1"/>
      <c r="K64" s="1"/>
      <c r="L64" s="1"/>
      <c r="M64" s="1"/>
      <c r="N64" s="1"/>
      <c r="O64" s="1"/>
      <c r="P64" s="1"/>
      <c r="Q64" s="1"/>
      <c r="R64" s="1"/>
    </row>
    <row r="65" spans="1:18" ht="13">
      <c r="A65" s="1"/>
      <c r="B65" s="1"/>
      <c r="C65" s="1"/>
      <c r="D65" s="1"/>
      <c r="E65" s="1"/>
      <c r="F65" s="1"/>
      <c r="G65" s="1"/>
      <c r="H65" s="1"/>
      <c r="I65" s="1"/>
      <c r="J65" s="1"/>
      <c r="K65" s="1"/>
      <c r="L65" s="1"/>
      <c r="M65" s="1"/>
      <c r="N65" s="1"/>
      <c r="O65" s="1"/>
      <c r="P65" s="1"/>
      <c r="Q65" s="1"/>
      <c r="R65" s="1"/>
    </row>
    <row r="66" spans="1:18" ht="13">
      <c r="A66" s="1"/>
      <c r="B66" s="1"/>
      <c r="C66" s="1"/>
      <c r="D66" s="1"/>
      <c r="E66" s="1"/>
      <c r="F66" s="1"/>
      <c r="G66" s="1"/>
      <c r="H66" s="1"/>
      <c r="I66" s="1"/>
      <c r="J66" s="1"/>
      <c r="K66" s="1"/>
      <c r="L66" s="1"/>
      <c r="M66" s="1"/>
      <c r="N66" s="1"/>
      <c r="O66" s="1"/>
      <c r="P66" s="1"/>
      <c r="Q66" s="1"/>
      <c r="R66" s="1"/>
    </row>
    <row r="67" spans="1:18" ht="13">
      <c r="A67" s="1"/>
      <c r="B67" s="1"/>
      <c r="C67" s="1"/>
      <c r="D67" s="1"/>
      <c r="E67" s="1"/>
      <c r="F67" s="1"/>
      <c r="G67" s="1"/>
      <c r="H67" s="1"/>
      <c r="I67" s="1"/>
      <c r="J67" s="1"/>
      <c r="K67" s="1"/>
      <c r="L67" s="1"/>
      <c r="M67" s="1"/>
      <c r="N67" s="1"/>
      <c r="O67" s="1"/>
      <c r="P67" s="1"/>
      <c r="Q67" s="1"/>
      <c r="R67" s="1"/>
    </row>
    <row r="68" spans="1:18" ht="13">
      <c r="A68" s="1"/>
      <c r="B68" s="1"/>
      <c r="C68" s="1"/>
      <c r="D68" s="1"/>
      <c r="E68" s="1"/>
      <c r="F68" s="1"/>
      <c r="G68" s="1"/>
      <c r="H68" s="1"/>
      <c r="I68" s="1"/>
      <c r="J68" s="1"/>
      <c r="K68" s="1"/>
      <c r="L68" s="1"/>
      <c r="M68" s="1"/>
      <c r="N68" s="1"/>
      <c r="O68" s="1"/>
      <c r="P68" s="1"/>
      <c r="Q68" s="1"/>
      <c r="R68" s="1"/>
    </row>
    <row r="69" spans="1:18" ht="13">
      <c r="A69" s="1"/>
      <c r="B69" s="1"/>
      <c r="C69" s="1"/>
      <c r="D69" s="1"/>
      <c r="E69" s="1"/>
      <c r="F69" s="1"/>
      <c r="G69" s="1"/>
      <c r="H69" s="1"/>
      <c r="I69" s="1"/>
      <c r="J69" s="1"/>
      <c r="K69" s="1"/>
      <c r="L69" s="1"/>
      <c r="M69" s="1"/>
      <c r="N69" s="1"/>
      <c r="O69" s="1"/>
      <c r="P69" s="1"/>
      <c r="Q69" s="1"/>
      <c r="R69" s="1"/>
    </row>
    <row r="70" spans="1:18" ht="13">
      <c r="A70" s="1"/>
      <c r="B70" s="1"/>
      <c r="C70" s="1"/>
      <c r="D70" s="1"/>
      <c r="E70" s="1"/>
      <c r="F70" s="1"/>
      <c r="G70" s="1"/>
      <c r="H70" s="1"/>
      <c r="I70" s="1"/>
      <c r="J70" s="1"/>
      <c r="K70" s="1"/>
      <c r="L70" s="1"/>
      <c r="M70" s="1"/>
      <c r="N70" s="1"/>
      <c r="O70" s="1"/>
      <c r="P70" s="1"/>
      <c r="Q70" s="1"/>
      <c r="R70" s="1"/>
    </row>
    <row r="71" spans="1:18" ht="13">
      <c r="A71" s="1"/>
      <c r="B71" s="1"/>
      <c r="C71" s="1"/>
      <c r="D71" s="1"/>
      <c r="E71" s="1"/>
      <c r="F71" s="1"/>
      <c r="G71" s="1"/>
      <c r="H71" s="1"/>
      <c r="I71" s="1"/>
      <c r="J71" s="1"/>
      <c r="K71" s="1"/>
      <c r="L71" s="1"/>
      <c r="M71" s="1"/>
      <c r="N71" s="1"/>
      <c r="O71" s="1"/>
      <c r="P71" s="1"/>
      <c r="Q71" s="1"/>
      <c r="R71" s="1"/>
    </row>
    <row r="72" spans="1:18" ht="13">
      <c r="A72" s="1"/>
      <c r="B72" s="1"/>
      <c r="C72" s="1"/>
      <c r="D72" s="1"/>
      <c r="E72" s="1"/>
      <c r="F72" s="1"/>
      <c r="G72" s="1"/>
      <c r="H72" s="1"/>
      <c r="I72" s="1"/>
      <c r="J72" s="1"/>
      <c r="K72" s="1"/>
      <c r="L72" s="1"/>
      <c r="M72" s="1"/>
      <c r="N72" s="1"/>
      <c r="O72" s="1"/>
      <c r="P72" s="1"/>
      <c r="Q72" s="1"/>
      <c r="R72" s="1"/>
    </row>
    <row r="73" spans="1:18" ht="13">
      <c r="A73" s="1"/>
      <c r="B73" s="1"/>
      <c r="C73" s="1"/>
      <c r="D73" s="1"/>
      <c r="E73" s="1"/>
      <c r="F73" s="1"/>
      <c r="G73" s="1"/>
      <c r="H73" s="1"/>
      <c r="I73" s="1"/>
      <c r="J73" s="1"/>
      <c r="K73" s="1"/>
      <c r="L73" s="1"/>
      <c r="M73" s="1"/>
      <c r="N73" s="1"/>
      <c r="O73" s="1"/>
      <c r="P73" s="1"/>
      <c r="Q73" s="1"/>
      <c r="R73" s="1"/>
    </row>
    <row r="74" spans="1:18" ht="13">
      <c r="A74" s="1"/>
      <c r="B74" s="1"/>
      <c r="C74" s="1"/>
      <c r="D74" s="1"/>
      <c r="E74" s="1"/>
      <c r="F74" s="1"/>
      <c r="G74" s="1"/>
      <c r="H74" s="1"/>
      <c r="I74" s="1"/>
      <c r="J74" s="1"/>
      <c r="K74" s="1"/>
      <c r="L74" s="1"/>
      <c r="M74" s="1"/>
      <c r="N74" s="1"/>
      <c r="O74" s="1"/>
      <c r="P74" s="1"/>
      <c r="Q74" s="1"/>
      <c r="R74" s="1"/>
    </row>
    <row r="75" spans="1:18" ht="13">
      <c r="A75" s="1"/>
      <c r="B75" s="1"/>
      <c r="C75" s="1"/>
      <c r="D75" s="1"/>
      <c r="E75" s="1"/>
      <c r="F75" s="1"/>
      <c r="G75" s="1"/>
      <c r="H75" s="1"/>
      <c r="I75" s="1"/>
      <c r="J75" s="1"/>
      <c r="K75" s="1"/>
      <c r="L75" s="1"/>
      <c r="M75" s="1"/>
      <c r="N75" s="1"/>
      <c r="O75" s="1"/>
      <c r="P75" s="1"/>
      <c r="Q75" s="1"/>
      <c r="R75" s="1"/>
    </row>
    <row r="76" spans="1:18" ht="13">
      <c r="A76" s="1"/>
      <c r="B76" s="1"/>
      <c r="C76" s="1"/>
      <c r="D76" s="1"/>
      <c r="E76" s="1"/>
      <c r="F76" s="1"/>
      <c r="G76" s="1"/>
      <c r="H76" s="1"/>
      <c r="I76" s="1"/>
      <c r="J76" s="1"/>
      <c r="K76" s="1"/>
      <c r="L76" s="1"/>
      <c r="M76" s="1"/>
      <c r="N76" s="1"/>
      <c r="O76" s="1"/>
      <c r="P76" s="1"/>
      <c r="Q76" s="1"/>
      <c r="R76" s="1"/>
    </row>
    <row r="77" spans="1:18" ht="13">
      <c r="A77" s="1"/>
      <c r="B77" s="1"/>
      <c r="C77" s="1"/>
      <c r="D77" s="1"/>
      <c r="E77" s="1"/>
      <c r="F77" s="1"/>
      <c r="G77" s="1"/>
      <c r="H77" s="1"/>
      <c r="I77" s="1"/>
      <c r="J77" s="1"/>
      <c r="K77" s="1"/>
      <c r="L77" s="1"/>
      <c r="M77" s="1"/>
      <c r="N77" s="1"/>
      <c r="O77" s="1"/>
      <c r="P77" s="1"/>
      <c r="Q77" s="1"/>
      <c r="R77" s="1"/>
    </row>
    <row r="78" spans="1:18" ht="13">
      <c r="A78" s="1"/>
      <c r="B78" s="1"/>
      <c r="C78" s="1"/>
      <c r="D78" s="1"/>
      <c r="E78" s="1"/>
      <c r="F78" s="1"/>
      <c r="G78" s="1"/>
      <c r="H78" s="1"/>
      <c r="I78" s="1"/>
      <c r="J78" s="1"/>
      <c r="K78" s="1"/>
      <c r="L78" s="1"/>
      <c r="M78" s="1"/>
      <c r="N78" s="1"/>
      <c r="O78" s="1"/>
      <c r="P78" s="1"/>
      <c r="Q78" s="1"/>
      <c r="R78" s="1"/>
    </row>
    <row r="79" spans="1:18" ht="13">
      <c r="A79" s="1"/>
      <c r="B79" s="1"/>
      <c r="C79" s="1"/>
      <c r="D79" s="1"/>
      <c r="E79" s="1"/>
      <c r="F79" s="1"/>
      <c r="G79" s="1"/>
      <c r="H79" s="1"/>
      <c r="I79" s="1"/>
      <c r="J79" s="1"/>
      <c r="K79" s="1"/>
      <c r="L79" s="1"/>
      <c r="M79" s="1"/>
      <c r="N79" s="1"/>
      <c r="O79" s="1"/>
      <c r="P79" s="1"/>
      <c r="Q79" s="1"/>
      <c r="R79" s="1"/>
    </row>
    <row r="80" spans="1:18" ht="13">
      <c r="A80" s="1"/>
      <c r="B80" s="1"/>
      <c r="C80" s="1"/>
      <c r="D80" s="1"/>
      <c r="E80" s="1"/>
      <c r="F80" s="1"/>
      <c r="G80" s="1"/>
      <c r="H80" s="1"/>
      <c r="I80" s="1"/>
      <c r="J80" s="1"/>
      <c r="K80" s="1"/>
      <c r="L80" s="1"/>
      <c r="M80" s="1"/>
      <c r="N80" s="1"/>
      <c r="O80" s="1"/>
      <c r="P80" s="1"/>
      <c r="Q80" s="1"/>
      <c r="R80" s="1"/>
    </row>
    <row r="81" spans="1:18" ht="13">
      <c r="A81" s="1"/>
      <c r="B81" s="1"/>
      <c r="C81" s="1"/>
      <c r="D81" s="1"/>
      <c r="E81" s="1"/>
      <c r="F81" s="1"/>
      <c r="G81" s="1"/>
      <c r="H81" s="1"/>
      <c r="I81" s="1"/>
      <c r="J81" s="1"/>
      <c r="K81" s="1"/>
      <c r="L81" s="1"/>
      <c r="M81" s="1"/>
      <c r="N81" s="1"/>
      <c r="O81" s="1"/>
      <c r="P81" s="1"/>
      <c r="Q81" s="1"/>
      <c r="R81" s="1"/>
    </row>
    <row r="82" spans="1:18" ht="13">
      <c r="A82" s="1"/>
      <c r="B82" s="1"/>
      <c r="C82" s="1"/>
      <c r="D82" s="1"/>
      <c r="E82" s="1"/>
      <c r="F82" s="1"/>
      <c r="G82" s="1"/>
      <c r="H82" s="1"/>
      <c r="I82" s="1"/>
      <c r="J82" s="1"/>
      <c r="K82" s="1"/>
      <c r="L82" s="1"/>
      <c r="M82" s="1"/>
      <c r="N82" s="1"/>
      <c r="O82" s="1"/>
      <c r="P82" s="1"/>
      <c r="Q82" s="1"/>
      <c r="R82" s="1"/>
    </row>
    <row r="83" spans="1:18" ht="13">
      <c r="I83" s="1"/>
      <c r="J83" s="1"/>
      <c r="K83" s="1"/>
      <c r="L83" s="1"/>
      <c r="M83" s="1"/>
      <c r="N83" s="1"/>
      <c r="O83" s="1"/>
      <c r="P83" s="1"/>
      <c r="Q83" s="1"/>
      <c r="R83" s="1"/>
    </row>
    <row r="84" spans="1:18" ht="13">
      <c r="I84" s="1"/>
      <c r="J84" s="1"/>
      <c r="K84" s="1"/>
      <c r="L84" s="1"/>
      <c r="M84" s="1"/>
      <c r="N84" s="1"/>
      <c r="O84" s="1"/>
      <c r="P84" s="1"/>
      <c r="Q84" s="1"/>
      <c r="R84" s="1"/>
    </row>
    <row r="85" spans="1:18" ht="13">
      <c r="I85" s="1"/>
      <c r="J85" s="1"/>
      <c r="K85" s="1"/>
      <c r="L85" s="1"/>
      <c r="M85" s="1"/>
      <c r="N85" s="1"/>
      <c r="O85" s="1"/>
      <c r="P85" s="1"/>
      <c r="Q85" s="1"/>
      <c r="R85" s="1"/>
    </row>
    <row r="86" spans="1:18" ht="15">
      <c r="I86" s="1"/>
      <c r="J86" s="1"/>
      <c r="K86" s="1"/>
      <c r="L86" s="1"/>
      <c r="M86" s="1"/>
      <c r="N86" s="1"/>
      <c r="O86" s="1"/>
      <c r="P86" s="1"/>
      <c r="Q86" s="1"/>
      <c r="R86" s="1"/>
    </row>
  </sheetData>
  <mergeCells count="24">
    <mergeCell ref="C16:H16"/>
    <mergeCell ref="C17:H17"/>
    <mergeCell ref="C18:H18"/>
    <mergeCell ref="C10:H10"/>
    <mergeCell ref="C11:H11"/>
    <mergeCell ref="A12:H12"/>
    <mergeCell ref="A13:H13"/>
    <mergeCell ref="C14:H14"/>
    <mergeCell ref="A15:B15"/>
    <mergeCell ref="A16:B16"/>
    <mergeCell ref="A17:B17"/>
    <mergeCell ref="A18:B18"/>
    <mergeCell ref="A10:B10"/>
    <mergeCell ref="C7:H8"/>
    <mergeCell ref="A9:H9"/>
    <mergeCell ref="C15:H15"/>
    <mergeCell ref="A7:B8"/>
    <mergeCell ref="A11:B11"/>
    <mergeCell ref="A14:B14"/>
    <mergeCell ref="A1:H2"/>
    <mergeCell ref="A3:B4"/>
    <mergeCell ref="C3:H4"/>
    <mergeCell ref="A5:B6"/>
    <mergeCell ref="C5: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40"/>
  <sheetViews>
    <sheetView workbookViewId="0">
      <selection sqref="A1:E1"/>
    </sheetView>
  </sheetViews>
  <sheetFormatPr baseColWidth="10" defaultColWidth="11.1640625" defaultRowHeight="15.75" customHeight="1"/>
  <cols>
    <col min="1" max="1" width="20.33203125" customWidth="1"/>
    <col min="2" max="2" width="27.83203125" customWidth="1"/>
    <col min="3" max="3" width="32.5" customWidth="1"/>
    <col min="4" max="4" width="34.5" customWidth="1"/>
    <col min="5" max="5" width="48.6640625" customWidth="1"/>
    <col min="6" max="6" width="30.1640625" customWidth="1"/>
  </cols>
  <sheetData>
    <row r="1" spans="1:12" ht="18">
      <c r="A1" s="120" t="s">
        <v>19</v>
      </c>
      <c r="B1" s="106"/>
      <c r="C1" s="106"/>
      <c r="D1" s="106"/>
      <c r="E1" s="107"/>
      <c r="F1" s="3"/>
      <c r="G1" s="4"/>
      <c r="H1" s="4"/>
      <c r="I1" s="1"/>
      <c r="J1" s="1"/>
      <c r="K1" s="1"/>
      <c r="L1" s="1"/>
    </row>
    <row r="2" spans="1:12" ht="18">
      <c r="A2" s="121" t="s">
        <v>20</v>
      </c>
      <c r="B2" s="117"/>
      <c r="C2" s="117"/>
      <c r="D2" s="117"/>
      <c r="E2" s="118"/>
      <c r="F2" s="5"/>
      <c r="G2" s="6"/>
      <c r="H2" s="6"/>
      <c r="I2" s="1"/>
      <c r="J2" s="1"/>
      <c r="K2" s="1"/>
      <c r="L2" s="1"/>
    </row>
    <row r="3" spans="1:12" ht="16">
      <c r="A3" s="122"/>
      <c r="B3" s="82"/>
      <c r="C3" s="82"/>
      <c r="D3" s="82"/>
      <c r="E3" s="82"/>
      <c r="F3" s="8"/>
      <c r="G3" s="9"/>
      <c r="H3" s="9"/>
      <c r="I3" s="1"/>
      <c r="J3" s="1"/>
      <c r="K3" s="1"/>
      <c r="L3" s="1"/>
    </row>
    <row r="4" spans="1:12" ht="16">
      <c r="A4" s="123" t="s">
        <v>21</v>
      </c>
      <c r="B4" s="117"/>
      <c r="C4" s="117"/>
      <c r="D4" s="117"/>
      <c r="E4" s="118"/>
      <c r="F4" s="8"/>
      <c r="G4" s="9"/>
      <c r="H4" s="9"/>
      <c r="I4" s="1"/>
      <c r="J4" s="1"/>
      <c r="K4" s="1"/>
      <c r="L4" s="1"/>
    </row>
    <row r="5" spans="1:12" ht="16">
      <c r="A5" s="124" t="s">
        <v>22</v>
      </c>
      <c r="B5" s="125"/>
      <c r="C5" s="125"/>
      <c r="D5" s="125"/>
      <c r="E5" s="126"/>
      <c r="F5" s="8"/>
      <c r="G5" s="9"/>
      <c r="H5" s="9"/>
      <c r="I5" s="1"/>
      <c r="J5" s="1"/>
      <c r="K5" s="1"/>
      <c r="L5" s="1"/>
    </row>
    <row r="6" spans="1:12" ht="16">
      <c r="A6" s="122"/>
      <c r="B6" s="82"/>
      <c r="C6" s="82"/>
      <c r="D6" s="82"/>
      <c r="E6" s="82"/>
      <c r="F6" s="8"/>
      <c r="G6" s="9"/>
      <c r="H6" s="9"/>
      <c r="I6" s="1"/>
      <c r="J6" s="1"/>
      <c r="K6" s="1"/>
      <c r="L6" s="1"/>
    </row>
    <row r="7" spans="1:12" ht="16">
      <c r="A7" s="123" t="s">
        <v>23</v>
      </c>
      <c r="B7" s="125"/>
      <c r="C7" s="125"/>
      <c r="D7" s="125"/>
      <c r="E7" s="126"/>
      <c r="F7" s="8"/>
      <c r="G7" s="9"/>
      <c r="H7" s="9"/>
      <c r="I7" s="1"/>
      <c r="J7" s="1"/>
      <c r="K7" s="1"/>
      <c r="L7" s="1"/>
    </row>
    <row r="8" spans="1:12" ht="16">
      <c r="A8" s="116" t="s">
        <v>24</v>
      </c>
      <c r="B8" s="117"/>
      <c r="C8" s="117"/>
      <c r="D8" s="117"/>
      <c r="E8" s="118"/>
      <c r="F8" s="10"/>
      <c r="G8" s="11"/>
      <c r="H8" s="11"/>
      <c r="I8" s="1"/>
      <c r="J8" s="1"/>
      <c r="K8" s="1"/>
      <c r="L8" s="1"/>
    </row>
    <row r="9" spans="1:12" ht="16">
      <c r="A9" s="7"/>
      <c r="B9" s="7"/>
      <c r="C9" s="7"/>
      <c r="D9" s="7"/>
      <c r="E9" s="7"/>
      <c r="F9" s="8"/>
      <c r="G9" s="9"/>
      <c r="H9" s="9"/>
      <c r="I9" s="1"/>
      <c r="J9" s="1"/>
      <c r="K9" s="1"/>
      <c r="L9" s="1"/>
    </row>
    <row r="10" spans="1:12" ht="16">
      <c r="A10" s="123" t="s">
        <v>25</v>
      </c>
      <c r="B10" s="117"/>
      <c r="C10" s="117"/>
      <c r="D10" s="117"/>
      <c r="E10" s="118"/>
      <c r="F10" s="8"/>
      <c r="G10" s="9"/>
      <c r="H10" s="9"/>
      <c r="I10" s="1"/>
      <c r="J10" s="1"/>
      <c r="K10" s="1"/>
      <c r="L10" s="1"/>
    </row>
    <row r="11" spans="1:12" ht="16">
      <c r="A11" s="116" t="s">
        <v>26</v>
      </c>
      <c r="B11" s="125"/>
      <c r="C11" s="125"/>
      <c r="D11" s="125"/>
      <c r="E11" s="126"/>
      <c r="F11" s="10"/>
      <c r="G11" s="11"/>
      <c r="H11" s="11"/>
      <c r="I11" s="1"/>
      <c r="J11" s="1"/>
      <c r="K11" s="1"/>
      <c r="L11" s="1"/>
    </row>
    <row r="12" spans="1:12" ht="16">
      <c r="A12" s="7"/>
      <c r="B12" s="7"/>
      <c r="C12" s="7"/>
      <c r="D12" s="7"/>
      <c r="E12" s="7"/>
      <c r="F12" s="8"/>
      <c r="G12" s="9"/>
      <c r="H12" s="9"/>
      <c r="I12" s="1"/>
      <c r="J12" s="1"/>
      <c r="K12" s="1"/>
      <c r="L12" s="1"/>
    </row>
    <row r="13" spans="1:12" ht="18">
      <c r="A13" s="127" t="s">
        <v>27</v>
      </c>
      <c r="B13" s="125"/>
      <c r="C13" s="126"/>
      <c r="D13" s="127" t="s">
        <v>28</v>
      </c>
      <c r="E13" s="126"/>
      <c r="F13" s="3"/>
      <c r="G13" s="4"/>
      <c r="H13" s="4"/>
      <c r="I13" s="1"/>
      <c r="J13" s="1"/>
      <c r="K13" s="1"/>
      <c r="L13" s="1"/>
    </row>
    <row r="14" spans="1:12" ht="16">
      <c r="A14" s="116" t="s">
        <v>29</v>
      </c>
      <c r="B14" s="117"/>
      <c r="C14" s="118"/>
      <c r="D14" s="116" t="s">
        <v>30</v>
      </c>
      <c r="E14" s="118"/>
      <c r="F14" s="10"/>
      <c r="G14" s="11"/>
      <c r="H14" s="11"/>
      <c r="I14" s="1"/>
      <c r="J14" s="1"/>
      <c r="K14" s="1"/>
      <c r="L14" s="1"/>
    </row>
    <row r="15" spans="1:12" ht="16">
      <c r="A15" s="116" t="s">
        <v>31</v>
      </c>
      <c r="B15" s="125"/>
      <c r="C15" s="126"/>
      <c r="D15" s="116" t="s">
        <v>32</v>
      </c>
      <c r="E15" s="126"/>
      <c r="F15" s="10"/>
      <c r="G15" s="11"/>
      <c r="H15" s="11"/>
      <c r="I15" s="1"/>
      <c r="J15" s="1"/>
      <c r="K15" s="1"/>
      <c r="L15" s="1"/>
    </row>
    <row r="16" spans="1:12" ht="16">
      <c r="A16" s="116" t="s">
        <v>33</v>
      </c>
      <c r="B16" s="117"/>
      <c r="C16" s="118"/>
      <c r="D16" s="116" t="s">
        <v>34</v>
      </c>
      <c r="E16" s="118"/>
      <c r="F16" s="10"/>
      <c r="G16" s="11"/>
      <c r="H16" s="11"/>
      <c r="I16" s="1"/>
      <c r="J16" s="1"/>
      <c r="K16" s="1"/>
      <c r="L16" s="1"/>
    </row>
    <row r="17" spans="1:12" ht="16">
      <c r="A17" s="116" t="s">
        <v>35</v>
      </c>
      <c r="B17" s="125"/>
      <c r="C17" s="126"/>
      <c r="D17" s="116" t="s">
        <v>36</v>
      </c>
      <c r="E17" s="126"/>
      <c r="F17" s="10"/>
      <c r="G17" s="11"/>
      <c r="H17" s="11"/>
      <c r="I17" s="1"/>
      <c r="J17" s="1"/>
      <c r="K17" s="1"/>
      <c r="L17" s="1"/>
    </row>
    <row r="18" spans="1:12" ht="16">
      <c r="A18" s="116" t="s">
        <v>37</v>
      </c>
      <c r="B18" s="117"/>
      <c r="C18" s="118"/>
      <c r="D18" s="116" t="s">
        <v>38</v>
      </c>
      <c r="E18" s="118"/>
      <c r="F18" s="10"/>
      <c r="G18" s="11"/>
      <c r="H18" s="11"/>
      <c r="I18" s="1"/>
      <c r="J18" s="1"/>
      <c r="K18" s="1"/>
      <c r="L18" s="1"/>
    </row>
    <row r="19" spans="1:12" ht="16">
      <c r="A19" s="116" t="s">
        <v>39</v>
      </c>
      <c r="B19" s="125"/>
      <c r="C19" s="126"/>
      <c r="D19" s="116" t="s">
        <v>40</v>
      </c>
      <c r="E19" s="126"/>
      <c r="F19" s="10"/>
      <c r="G19" s="11"/>
      <c r="H19" s="11"/>
      <c r="I19" s="1"/>
      <c r="J19" s="1"/>
      <c r="K19" s="1"/>
      <c r="L19" s="1"/>
    </row>
    <row r="20" spans="1:12" ht="16">
      <c r="A20" s="116" t="s">
        <v>41</v>
      </c>
      <c r="B20" s="117"/>
      <c r="C20" s="118"/>
      <c r="D20" s="116" t="s">
        <v>42</v>
      </c>
      <c r="E20" s="118"/>
      <c r="F20" s="10"/>
      <c r="G20" s="11"/>
      <c r="H20" s="11"/>
      <c r="I20" s="1"/>
      <c r="J20" s="1"/>
      <c r="K20" s="1"/>
      <c r="L20" s="1"/>
    </row>
    <row r="21" spans="1:12" ht="16">
      <c r="A21" s="128" t="s">
        <v>43</v>
      </c>
      <c r="B21" s="129"/>
      <c r="C21" s="130"/>
      <c r="D21" s="128" t="s">
        <v>44</v>
      </c>
      <c r="E21" s="130"/>
      <c r="F21" s="10"/>
      <c r="G21" s="11"/>
      <c r="H21" s="11"/>
      <c r="I21" s="1"/>
      <c r="J21" s="1"/>
      <c r="K21" s="1"/>
      <c r="L21" s="1"/>
    </row>
    <row r="22" spans="1:12" ht="13">
      <c r="A22" s="131"/>
      <c r="B22" s="132"/>
      <c r="C22" s="132"/>
      <c r="D22" s="132"/>
      <c r="E22" s="132"/>
      <c r="F22" s="12"/>
      <c r="G22" s="13"/>
      <c r="H22" s="13"/>
      <c r="I22" s="1"/>
      <c r="J22" s="1"/>
      <c r="K22" s="1"/>
      <c r="L22" s="1"/>
    </row>
    <row r="23" spans="1:12" ht="16">
      <c r="A23" s="123" t="s">
        <v>45</v>
      </c>
      <c r="B23" s="125"/>
      <c r="C23" s="125"/>
      <c r="D23" s="125"/>
      <c r="E23" s="126"/>
      <c r="F23" s="8"/>
      <c r="G23" s="9"/>
      <c r="H23" s="9"/>
      <c r="I23" s="1"/>
      <c r="J23" s="1"/>
      <c r="K23" s="1"/>
      <c r="L23" s="1"/>
    </row>
    <row r="24" spans="1:12" ht="16">
      <c r="A24" s="116" t="s">
        <v>46</v>
      </c>
      <c r="B24" s="117"/>
      <c r="C24" s="118"/>
      <c r="D24" s="116" t="s">
        <v>47</v>
      </c>
      <c r="E24" s="118"/>
      <c r="F24" s="10"/>
      <c r="G24" s="11"/>
      <c r="H24" s="11"/>
      <c r="I24" s="1"/>
      <c r="J24" s="1"/>
      <c r="K24" s="1"/>
      <c r="L24" s="1"/>
    </row>
    <row r="25" spans="1:12" ht="13">
      <c r="A25" s="112"/>
      <c r="B25" s="82"/>
      <c r="C25" s="82"/>
      <c r="D25" s="82"/>
      <c r="E25" s="82"/>
      <c r="F25" s="12"/>
      <c r="G25" s="13"/>
      <c r="H25" s="13"/>
      <c r="I25" s="1"/>
      <c r="J25" s="1"/>
      <c r="K25" s="1"/>
      <c r="L25" s="1"/>
    </row>
    <row r="26" spans="1:12" ht="16">
      <c r="A26" s="123" t="s">
        <v>48</v>
      </c>
      <c r="B26" s="117"/>
      <c r="C26" s="117"/>
      <c r="D26" s="117"/>
      <c r="E26" s="118"/>
      <c r="F26" s="8"/>
      <c r="G26" s="9"/>
      <c r="H26" s="9"/>
      <c r="I26" s="1"/>
      <c r="J26" s="1"/>
      <c r="K26" s="1"/>
      <c r="L26" s="1"/>
    </row>
    <row r="27" spans="1:12" ht="16">
      <c r="A27" s="116" t="s">
        <v>49</v>
      </c>
      <c r="B27" s="125"/>
      <c r="C27" s="125"/>
      <c r="D27" s="125"/>
      <c r="E27" s="126"/>
      <c r="F27" s="10"/>
      <c r="G27" s="11"/>
      <c r="H27" s="11"/>
      <c r="I27" s="1"/>
      <c r="J27" s="1"/>
      <c r="K27" s="1"/>
      <c r="L27" s="1"/>
    </row>
    <row r="28" spans="1:12" ht="16">
      <c r="A28" s="116" t="s">
        <v>50</v>
      </c>
      <c r="B28" s="117"/>
      <c r="C28" s="117"/>
      <c r="D28" s="117"/>
      <c r="E28" s="118"/>
      <c r="F28" s="10"/>
      <c r="G28" s="11"/>
      <c r="H28" s="11"/>
      <c r="I28" s="1"/>
      <c r="J28" s="1"/>
      <c r="K28" s="1"/>
      <c r="L28" s="1"/>
    </row>
    <row r="29" spans="1:12" ht="13">
      <c r="A29" s="112"/>
      <c r="B29" s="82"/>
      <c r="C29" s="82"/>
      <c r="D29" s="82"/>
      <c r="E29" s="82"/>
      <c r="F29" s="12"/>
      <c r="G29" s="13"/>
      <c r="H29" s="13"/>
      <c r="I29" s="1"/>
      <c r="J29" s="1"/>
      <c r="K29" s="1"/>
      <c r="L29" s="1"/>
    </row>
    <row r="30" spans="1:12" ht="17">
      <c r="A30" s="15" t="s">
        <v>12</v>
      </c>
      <c r="B30" s="15" t="s">
        <v>51</v>
      </c>
      <c r="C30" s="15" t="s">
        <v>52</v>
      </c>
      <c r="D30" s="15" t="s">
        <v>53</v>
      </c>
      <c r="E30" s="15" t="s">
        <v>54</v>
      </c>
      <c r="F30" s="16"/>
      <c r="G30" s="17"/>
      <c r="H30" s="17"/>
      <c r="I30" s="1"/>
      <c r="J30" s="1"/>
      <c r="K30" s="1"/>
      <c r="L30" s="1"/>
    </row>
    <row r="31" spans="1:12" ht="98">
      <c r="A31" s="18" t="s">
        <v>55</v>
      </c>
      <c r="B31" s="18" t="s">
        <v>56</v>
      </c>
      <c r="C31" s="18">
        <v>37</v>
      </c>
      <c r="D31" s="19" t="s">
        <v>57</v>
      </c>
      <c r="E31" s="20" t="s">
        <v>58</v>
      </c>
      <c r="F31" s="12"/>
      <c r="G31" s="13"/>
      <c r="H31" s="13"/>
      <c r="I31" s="1"/>
      <c r="J31" s="1"/>
      <c r="K31" s="1"/>
      <c r="L31" s="1"/>
    </row>
    <row r="32" spans="1:12" ht="56">
      <c r="A32" s="18" t="s">
        <v>59</v>
      </c>
      <c r="B32" s="18" t="s">
        <v>60</v>
      </c>
      <c r="C32" s="18">
        <v>34</v>
      </c>
      <c r="D32" s="19" t="s">
        <v>61</v>
      </c>
      <c r="E32" s="20" t="s">
        <v>62</v>
      </c>
      <c r="F32" s="12"/>
      <c r="G32" s="13"/>
      <c r="H32" s="13"/>
      <c r="I32" s="1"/>
      <c r="J32" s="1"/>
      <c r="K32" s="1"/>
      <c r="L32" s="1"/>
    </row>
    <row r="33" spans="1:12" ht="56">
      <c r="A33" s="18" t="s">
        <v>63</v>
      </c>
      <c r="B33" s="18" t="s">
        <v>64</v>
      </c>
      <c r="C33" s="18">
        <v>37</v>
      </c>
      <c r="D33" s="19" t="s">
        <v>65</v>
      </c>
      <c r="E33" s="20" t="s">
        <v>66</v>
      </c>
      <c r="F33" s="12"/>
      <c r="G33" s="13"/>
      <c r="H33" s="13"/>
      <c r="I33" s="1"/>
      <c r="J33" s="1"/>
      <c r="K33" s="1"/>
      <c r="L33" s="1"/>
    </row>
    <row r="34" spans="1:12" ht="70">
      <c r="A34" s="18" t="s">
        <v>67</v>
      </c>
      <c r="B34" s="18" t="s">
        <v>68</v>
      </c>
      <c r="C34" s="18">
        <v>58</v>
      </c>
      <c r="D34" s="19" t="s">
        <v>69</v>
      </c>
      <c r="E34" s="20" t="s">
        <v>70</v>
      </c>
      <c r="F34" s="12"/>
      <c r="G34" s="13"/>
      <c r="H34" s="13"/>
      <c r="I34" s="1"/>
      <c r="J34" s="1"/>
      <c r="K34" s="1"/>
      <c r="L34" s="1"/>
    </row>
    <row r="35" spans="1:12" ht="126">
      <c r="A35" s="18" t="s">
        <v>71</v>
      </c>
      <c r="B35" s="18" t="s">
        <v>72</v>
      </c>
      <c r="C35" s="18">
        <v>62</v>
      </c>
      <c r="D35" s="19" t="s">
        <v>73</v>
      </c>
      <c r="E35" s="20" t="s">
        <v>74</v>
      </c>
      <c r="F35" s="12"/>
      <c r="G35" s="13"/>
      <c r="H35" s="13"/>
      <c r="I35" s="1"/>
      <c r="J35" s="1"/>
      <c r="K35" s="1"/>
      <c r="L35" s="1"/>
    </row>
    <row r="36" spans="1:12" ht="70">
      <c r="A36" s="18" t="s">
        <v>75</v>
      </c>
      <c r="B36" s="18" t="s">
        <v>72</v>
      </c>
      <c r="C36" s="18">
        <v>65</v>
      </c>
      <c r="D36" s="19" t="s">
        <v>76</v>
      </c>
      <c r="E36" s="20" t="s">
        <v>77</v>
      </c>
      <c r="F36" s="12"/>
      <c r="G36" s="13"/>
      <c r="H36" s="13"/>
      <c r="I36" s="1"/>
      <c r="J36" s="1"/>
      <c r="K36" s="1"/>
      <c r="L36" s="1"/>
    </row>
    <row r="37" spans="1:12" ht="70">
      <c r="A37" s="18" t="s">
        <v>78</v>
      </c>
      <c r="B37" s="18" t="s">
        <v>72</v>
      </c>
      <c r="C37" s="18">
        <v>70</v>
      </c>
      <c r="D37" s="19" t="s">
        <v>76</v>
      </c>
      <c r="E37" s="20" t="s">
        <v>79</v>
      </c>
      <c r="F37" s="12"/>
      <c r="G37" s="13"/>
      <c r="H37" s="13"/>
      <c r="I37" s="1"/>
      <c r="J37" s="1"/>
      <c r="K37" s="1"/>
      <c r="L37" s="1"/>
    </row>
    <row r="38" spans="1:12" ht="60">
      <c r="A38" s="18" t="s">
        <v>80</v>
      </c>
      <c r="B38" s="18" t="s">
        <v>72</v>
      </c>
      <c r="C38" s="18">
        <v>35</v>
      </c>
      <c r="D38" s="19" t="s">
        <v>81</v>
      </c>
      <c r="E38" s="20" t="s">
        <v>82</v>
      </c>
      <c r="F38" s="12"/>
      <c r="G38" s="13"/>
      <c r="H38" s="13"/>
      <c r="I38" s="1"/>
      <c r="J38" s="1"/>
      <c r="K38" s="1"/>
      <c r="L38" s="1"/>
    </row>
    <row r="39" spans="1:12" ht="13">
      <c r="A39" s="14"/>
      <c r="B39" s="14"/>
      <c r="C39" s="14"/>
      <c r="D39" s="14"/>
      <c r="E39" s="14"/>
      <c r="F39" s="12"/>
      <c r="G39" s="13"/>
      <c r="H39" s="13"/>
      <c r="I39" s="1"/>
      <c r="J39" s="1"/>
      <c r="K39" s="1"/>
      <c r="L39" s="1"/>
    </row>
    <row r="40" spans="1:12" ht="13">
      <c r="A40" s="113" t="s">
        <v>83</v>
      </c>
      <c r="B40" s="114"/>
      <c r="C40" s="114"/>
      <c r="D40" s="114"/>
      <c r="E40" s="115"/>
      <c r="F40" s="13"/>
      <c r="G40" s="21"/>
      <c r="H40" s="21"/>
      <c r="I40" s="1"/>
      <c r="J40" s="1"/>
      <c r="K40" s="1"/>
      <c r="L40" s="1"/>
    </row>
    <row r="41" spans="1:12" ht="87.75" customHeight="1">
      <c r="A41" s="108" t="s">
        <v>84</v>
      </c>
      <c r="B41" s="111"/>
      <c r="C41" s="109"/>
      <c r="D41" s="108" t="s">
        <v>85</v>
      </c>
      <c r="E41" s="109"/>
      <c r="F41" s="13"/>
      <c r="G41" s="22"/>
      <c r="H41" s="22"/>
      <c r="I41" s="1"/>
      <c r="J41" s="1"/>
      <c r="K41" s="1"/>
      <c r="L41" s="1"/>
    </row>
    <row r="42" spans="1:12" ht="87.75" customHeight="1">
      <c r="A42" s="119" t="s">
        <v>86</v>
      </c>
      <c r="B42" s="114"/>
      <c r="C42" s="115"/>
      <c r="D42" s="108" t="s">
        <v>87</v>
      </c>
      <c r="E42" s="115"/>
      <c r="F42" s="13"/>
      <c r="G42" s="21"/>
      <c r="H42" s="21"/>
      <c r="I42" s="1"/>
      <c r="J42" s="1"/>
      <c r="K42" s="1"/>
      <c r="L42" s="1"/>
    </row>
    <row r="43" spans="1:12" ht="87.75" customHeight="1">
      <c r="A43" s="110" t="s">
        <v>88</v>
      </c>
      <c r="B43" s="111"/>
      <c r="C43" s="109"/>
      <c r="D43" s="108" t="s">
        <v>89</v>
      </c>
      <c r="E43" s="109"/>
      <c r="F43" s="13"/>
      <c r="G43" s="22"/>
      <c r="H43" s="22"/>
      <c r="I43" s="1"/>
      <c r="J43" s="1"/>
      <c r="K43" s="1"/>
      <c r="L43" s="1"/>
    </row>
    <row r="44" spans="1:12" ht="13">
      <c r="A44" s="105" t="s">
        <v>90</v>
      </c>
      <c r="B44" s="106"/>
      <c r="C44" s="106"/>
      <c r="D44" s="106"/>
      <c r="E44" s="107"/>
      <c r="F44" s="23"/>
      <c r="G44" s="1"/>
      <c r="H44" s="1"/>
      <c r="I44" s="1"/>
      <c r="J44" s="1"/>
      <c r="K44" s="1"/>
      <c r="L44" s="1"/>
    </row>
    <row r="45" spans="1:12" ht="13">
      <c r="A45" s="116" t="s">
        <v>91</v>
      </c>
      <c r="B45" s="117"/>
      <c r="C45" s="118"/>
      <c r="D45" s="116" t="s">
        <v>92</v>
      </c>
      <c r="E45" s="118"/>
      <c r="F45" s="23"/>
      <c r="G45" s="1"/>
      <c r="H45" s="1"/>
      <c r="I45" s="1"/>
      <c r="J45" s="1"/>
      <c r="K45" s="1"/>
      <c r="L45" s="1"/>
    </row>
    <row r="46" spans="1:12" ht="14">
      <c r="A46" s="24"/>
      <c r="B46" s="24"/>
      <c r="C46" s="24"/>
      <c r="D46" s="24"/>
      <c r="E46" s="24"/>
      <c r="F46" s="23"/>
      <c r="G46" s="1"/>
      <c r="H46" s="1"/>
      <c r="I46" s="1"/>
      <c r="J46" s="1"/>
      <c r="K46" s="1"/>
      <c r="L46" s="1"/>
    </row>
    <row r="47" spans="1:12" ht="13">
      <c r="A47" s="133" t="s">
        <v>93</v>
      </c>
      <c r="B47" s="117"/>
      <c r="C47" s="117"/>
      <c r="D47" s="117"/>
      <c r="E47" s="118"/>
      <c r="F47" s="23"/>
      <c r="G47" s="1"/>
      <c r="H47" s="1"/>
      <c r="I47" s="1"/>
      <c r="J47" s="1"/>
      <c r="K47" s="1"/>
      <c r="L47" s="1"/>
    </row>
    <row r="48" spans="1:12" ht="13">
      <c r="A48" s="134" t="s">
        <v>94</v>
      </c>
      <c r="B48" s="125"/>
      <c r="C48" s="126"/>
      <c r="D48" s="134" t="s">
        <v>95</v>
      </c>
      <c r="E48" s="126"/>
      <c r="F48" s="23"/>
      <c r="G48" s="1"/>
      <c r="H48" s="1"/>
      <c r="I48" s="1"/>
      <c r="J48" s="1"/>
      <c r="K48" s="1"/>
      <c r="L48" s="1"/>
    </row>
    <row r="49" spans="1:12" ht="13">
      <c r="A49" s="25"/>
      <c r="B49" s="25"/>
      <c r="C49" s="25"/>
      <c r="D49" s="25"/>
      <c r="E49" s="25"/>
      <c r="F49" s="1"/>
      <c r="G49" s="1"/>
      <c r="H49" s="1"/>
      <c r="I49" s="1"/>
      <c r="J49" s="1"/>
      <c r="K49" s="1"/>
      <c r="L49" s="1"/>
    </row>
    <row r="50" spans="1:12" ht="13">
      <c r="A50" s="1"/>
      <c r="B50" s="1"/>
      <c r="C50" s="1"/>
      <c r="D50" s="1"/>
      <c r="E50" s="1"/>
      <c r="F50" s="1"/>
      <c r="G50" s="1"/>
      <c r="H50" s="1"/>
      <c r="I50" s="1"/>
      <c r="J50" s="1"/>
      <c r="K50" s="1"/>
      <c r="L50" s="1"/>
    </row>
    <row r="51" spans="1:12" ht="13">
      <c r="A51" s="1"/>
      <c r="B51" s="1"/>
      <c r="C51" s="1"/>
      <c r="D51" s="1"/>
      <c r="E51" s="1"/>
      <c r="F51" s="1"/>
      <c r="G51" s="1"/>
      <c r="H51" s="1"/>
      <c r="I51" s="1"/>
      <c r="J51" s="1"/>
      <c r="K51" s="1"/>
      <c r="L51" s="1"/>
    </row>
    <row r="52" spans="1:12" ht="13">
      <c r="A52" s="1"/>
      <c r="B52" s="1"/>
      <c r="C52" s="1"/>
      <c r="D52" s="1"/>
      <c r="E52" s="1"/>
      <c r="F52" s="1"/>
      <c r="G52" s="1"/>
      <c r="H52" s="1"/>
      <c r="I52" s="1"/>
      <c r="J52" s="1"/>
      <c r="K52" s="1"/>
      <c r="L52" s="1"/>
    </row>
    <row r="53" spans="1:12" ht="13">
      <c r="A53" s="1"/>
      <c r="B53" s="1"/>
      <c r="C53" s="1"/>
      <c r="D53" s="1"/>
      <c r="E53" s="1"/>
      <c r="F53" s="1"/>
      <c r="G53" s="1"/>
      <c r="H53" s="1"/>
      <c r="I53" s="1"/>
      <c r="J53" s="1"/>
      <c r="K53" s="1"/>
      <c r="L53" s="1"/>
    </row>
    <row r="54" spans="1:12" ht="13">
      <c r="A54" s="1"/>
      <c r="B54" s="1"/>
      <c r="C54" s="1"/>
      <c r="D54" s="1"/>
      <c r="E54" s="1"/>
      <c r="F54" s="1"/>
      <c r="G54" s="1"/>
      <c r="H54" s="1"/>
      <c r="I54" s="1"/>
      <c r="J54" s="1"/>
      <c r="K54" s="1"/>
      <c r="L54" s="1"/>
    </row>
    <row r="55" spans="1:12" ht="13">
      <c r="A55" s="1"/>
      <c r="B55" s="1"/>
      <c r="C55" s="1"/>
      <c r="D55" s="1"/>
      <c r="E55" s="1"/>
      <c r="F55" s="1"/>
      <c r="G55" s="1"/>
      <c r="H55" s="1"/>
      <c r="I55" s="1"/>
      <c r="J55" s="1"/>
      <c r="K55" s="1"/>
      <c r="L55" s="1"/>
    </row>
    <row r="56" spans="1:12" ht="13">
      <c r="A56" s="1"/>
      <c r="B56" s="1"/>
      <c r="C56" s="1"/>
      <c r="D56" s="1"/>
      <c r="E56" s="1"/>
      <c r="F56" s="1"/>
      <c r="G56" s="1"/>
      <c r="H56" s="1"/>
      <c r="I56" s="1"/>
      <c r="J56" s="1"/>
      <c r="K56" s="1"/>
      <c r="L56" s="1"/>
    </row>
    <row r="57" spans="1:12" ht="13">
      <c r="A57" s="1"/>
      <c r="B57" s="1"/>
      <c r="C57" s="1"/>
      <c r="D57" s="1"/>
      <c r="E57" s="1"/>
      <c r="F57" s="1"/>
      <c r="G57" s="1"/>
      <c r="H57" s="1"/>
      <c r="I57" s="1"/>
      <c r="J57" s="1"/>
      <c r="K57" s="1"/>
      <c r="L57" s="1"/>
    </row>
    <row r="58" spans="1:12" ht="13">
      <c r="A58" s="1"/>
      <c r="B58" s="1"/>
      <c r="C58" s="1"/>
      <c r="D58" s="1"/>
      <c r="E58" s="1"/>
      <c r="F58" s="1"/>
      <c r="G58" s="1"/>
      <c r="H58" s="1"/>
      <c r="I58" s="1"/>
      <c r="J58" s="1"/>
      <c r="K58" s="1"/>
      <c r="L58" s="1"/>
    </row>
    <row r="59" spans="1:12" ht="13">
      <c r="A59" s="1"/>
      <c r="B59" s="1"/>
      <c r="C59" s="1"/>
      <c r="D59" s="1"/>
      <c r="E59" s="1"/>
      <c r="F59" s="1"/>
      <c r="G59" s="1"/>
      <c r="H59" s="1"/>
      <c r="I59" s="1"/>
      <c r="J59" s="1"/>
      <c r="K59" s="1"/>
      <c r="L59" s="1"/>
    </row>
    <row r="60" spans="1:12" ht="13">
      <c r="A60" s="1"/>
      <c r="B60" s="1"/>
      <c r="C60" s="1"/>
      <c r="D60" s="1"/>
      <c r="E60" s="1"/>
      <c r="F60" s="1"/>
      <c r="G60" s="1"/>
      <c r="H60" s="1"/>
      <c r="I60" s="1"/>
      <c r="J60" s="1"/>
      <c r="K60" s="1"/>
      <c r="L60" s="1"/>
    </row>
    <row r="61" spans="1:12" ht="13">
      <c r="A61" s="1"/>
      <c r="B61" s="1"/>
      <c r="C61" s="1"/>
      <c r="D61" s="1"/>
      <c r="E61" s="1"/>
      <c r="F61" s="1"/>
      <c r="G61" s="1"/>
      <c r="H61" s="1"/>
      <c r="I61" s="1"/>
      <c r="J61" s="1"/>
      <c r="K61" s="1"/>
      <c r="L61" s="1"/>
    </row>
    <row r="62" spans="1:12" ht="13">
      <c r="A62" s="1"/>
      <c r="B62" s="1"/>
      <c r="C62" s="1"/>
      <c r="D62" s="1"/>
      <c r="E62" s="1"/>
      <c r="F62" s="1"/>
      <c r="G62" s="1"/>
      <c r="H62" s="1"/>
      <c r="I62" s="1"/>
      <c r="J62" s="1"/>
      <c r="K62" s="1"/>
      <c r="L62" s="1"/>
    </row>
    <row r="63" spans="1:12" ht="13">
      <c r="A63" s="1"/>
      <c r="B63" s="1"/>
      <c r="C63" s="1"/>
      <c r="D63" s="1"/>
      <c r="E63" s="1"/>
      <c r="F63" s="1"/>
      <c r="G63" s="1"/>
      <c r="H63" s="1"/>
      <c r="I63" s="1"/>
      <c r="J63" s="1"/>
      <c r="K63" s="1"/>
      <c r="L63" s="1"/>
    </row>
    <row r="64" spans="1:12" ht="13">
      <c r="A64" s="1"/>
      <c r="B64" s="1"/>
      <c r="C64" s="1"/>
      <c r="D64" s="1"/>
      <c r="E64" s="1"/>
      <c r="F64" s="1"/>
      <c r="G64" s="1"/>
      <c r="H64" s="1"/>
      <c r="I64" s="1"/>
      <c r="J64" s="1"/>
      <c r="K64" s="1"/>
      <c r="L64" s="1"/>
    </row>
    <row r="65" spans="1:12" ht="13">
      <c r="A65" s="1"/>
      <c r="B65" s="1"/>
      <c r="C65" s="1"/>
      <c r="D65" s="1"/>
      <c r="E65" s="1"/>
      <c r="F65" s="1"/>
      <c r="G65" s="1"/>
      <c r="H65" s="1"/>
      <c r="I65" s="1"/>
      <c r="J65" s="1"/>
      <c r="K65" s="1"/>
      <c r="L65" s="1"/>
    </row>
    <row r="66" spans="1:12" ht="13">
      <c r="A66" s="1"/>
      <c r="B66" s="1"/>
      <c r="C66" s="1"/>
      <c r="D66" s="1"/>
      <c r="E66" s="1"/>
      <c r="F66" s="1"/>
      <c r="G66" s="1"/>
      <c r="H66" s="1"/>
      <c r="I66" s="1"/>
      <c r="J66" s="1"/>
      <c r="K66" s="1"/>
      <c r="L66" s="1"/>
    </row>
    <row r="67" spans="1:12" ht="13">
      <c r="A67" s="1"/>
      <c r="B67" s="1"/>
      <c r="C67" s="1"/>
      <c r="D67" s="1"/>
      <c r="E67" s="1"/>
      <c r="F67" s="1"/>
      <c r="G67" s="1"/>
      <c r="H67" s="1"/>
      <c r="I67" s="1"/>
      <c r="J67" s="1"/>
      <c r="K67" s="1"/>
      <c r="L67" s="1"/>
    </row>
    <row r="68" spans="1:12" ht="13">
      <c r="A68" s="1"/>
      <c r="B68" s="1"/>
      <c r="C68" s="1"/>
      <c r="D68" s="1"/>
      <c r="E68" s="1"/>
      <c r="F68" s="1"/>
      <c r="G68" s="1"/>
      <c r="H68" s="1"/>
      <c r="I68" s="1"/>
      <c r="J68" s="1"/>
      <c r="K68" s="1"/>
      <c r="L68" s="1"/>
    </row>
    <row r="69" spans="1:12" ht="13">
      <c r="A69" s="1"/>
      <c r="B69" s="1"/>
      <c r="C69" s="1"/>
      <c r="D69" s="1"/>
      <c r="E69" s="1"/>
      <c r="F69" s="1"/>
      <c r="G69" s="1"/>
      <c r="H69" s="1"/>
      <c r="I69" s="1"/>
      <c r="J69" s="1"/>
      <c r="K69" s="1"/>
      <c r="L69" s="1"/>
    </row>
    <row r="70" spans="1:12" ht="13">
      <c r="A70" s="1"/>
      <c r="B70" s="1"/>
      <c r="C70" s="1"/>
      <c r="D70" s="1"/>
      <c r="E70" s="1"/>
      <c r="F70" s="1"/>
      <c r="G70" s="1"/>
      <c r="H70" s="1"/>
      <c r="I70" s="1"/>
      <c r="J70" s="1"/>
      <c r="K70" s="1"/>
      <c r="L70" s="1"/>
    </row>
    <row r="71" spans="1:12" ht="13">
      <c r="A71" s="1"/>
      <c r="B71" s="1"/>
      <c r="C71" s="1"/>
      <c r="D71" s="1"/>
      <c r="E71" s="1"/>
      <c r="F71" s="1"/>
      <c r="G71" s="1"/>
      <c r="H71" s="1"/>
      <c r="I71" s="1"/>
      <c r="J71" s="1"/>
      <c r="K71" s="1"/>
      <c r="L71" s="1"/>
    </row>
    <row r="72" spans="1:12" ht="13">
      <c r="A72" s="1"/>
      <c r="B72" s="1"/>
      <c r="C72" s="1"/>
      <c r="D72" s="1"/>
      <c r="E72" s="1"/>
      <c r="F72" s="1"/>
      <c r="G72" s="1"/>
      <c r="H72" s="1"/>
      <c r="I72" s="1"/>
      <c r="J72" s="1"/>
      <c r="K72" s="1"/>
      <c r="L72" s="1"/>
    </row>
    <row r="73" spans="1:12" ht="13">
      <c r="A73" s="1"/>
      <c r="B73" s="1"/>
      <c r="C73" s="1"/>
      <c r="D73" s="1"/>
      <c r="E73" s="1"/>
      <c r="F73" s="1"/>
      <c r="G73" s="1"/>
      <c r="H73" s="1"/>
      <c r="I73" s="1"/>
      <c r="J73" s="1"/>
      <c r="K73" s="1"/>
      <c r="L73" s="1"/>
    </row>
    <row r="74" spans="1:12" ht="13">
      <c r="A74" s="1"/>
      <c r="B74" s="1"/>
      <c r="C74" s="1"/>
      <c r="D74" s="1"/>
      <c r="E74" s="1"/>
      <c r="F74" s="1"/>
      <c r="G74" s="1"/>
      <c r="H74" s="1"/>
      <c r="I74" s="1"/>
      <c r="J74" s="1"/>
      <c r="K74" s="1"/>
      <c r="L74" s="1"/>
    </row>
    <row r="75" spans="1:12" ht="13">
      <c r="A75" s="1"/>
      <c r="B75" s="1"/>
      <c r="C75" s="1"/>
      <c r="D75" s="1"/>
      <c r="E75" s="1"/>
      <c r="F75" s="1"/>
      <c r="G75" s="1"/>
      <c r="H75" s="1"/>
      <c r="I75" s="1"/>
      <c r="J75" s="1"/>
      <c r="K75" s="1"/>
      <c r="L75" s="1"/>
    </row>
    <row r="76" spans="1:12" ht="13">
      <c r="A76" s="1"/>
      <c r="B76" s="1"/>
      <c r="C76" s="1"/>
      <c r="D76" s="1"/>
      <c r="E76" s="1"/>
      <c r="F76" s="1"/>
      <c r="G76" s="1"/>
      <c r="H76" s="1"/>
      <c r="I76" s="1"/>
      <c r="J76" s="1"/>
      <c r="K76" s="1"/>
      <c r="L76" s="1"/>
    </row>
    <row r="77" spans="1:12" ht="13">
      <c r="A77" s="1"/>
      <c r="B77" s="1"/>
      <c r="C77" s="1"/>
      <c r="D77" s="1"/>
      <c r="E77" s="1"/>
      <c r="F77" s="1"/>
      <c r="G77" s="1"/>
      <c r="H77" s="1"/>
      <c r="I77" s="1"/>
      <c r="J77" s="1"/>
      <c r="K77" s="1"/>
      <c r="L77" s="1"/>
    </row>
    <row r="78" spans="1:12" ht="13">
      <c r="A78" s="1"/>
      <c r="B78" s="1"/>
      <c r="C78" s="1"/>
      <c r="D78" s="1"/>
      <c r="E78" s="1"/>
      <c r="F78" s="1"/>
      <c r="G78" s="1"/>
      <c r="H78" s="1"/>
      <c r="I78" s="1"/>
      <c r="J78" s="1"/>
      <c r="K78" s="1"/>
      <c r="L78" s="1"/>
    </row>
    <row r="79" spans="1:12" ht="13">
      <c r="A79" s="1"/>
      <c r="B79" s="1"/>
      <c r="C79" s="1"/>
      <c r="D79" s="1"/>
      <c r="E79" s="1"/>
      <c r="F79" s="1"/>
      <c r="G79" s="1"/>
      <c r="H79" s="1"/>
      <c r="I79" s="1"/>
      <c r="J79" s="1"/>
      <c r="K79" s="1"/>
      <c r="L79" s="1"/>
    </row>
    <row r="80" spans="1:12" ht="13">
      <c r="A80" s="1"/>
      <c r="B80" s="1"/>
      <c r="C80" s="1"/>
      <c r="D80" s="1"/>
      <c r="E80" s="1"/>
      <c r="F80" s="1"/>
      <c r="G80" s="1"/>
      <c r="H80" s="1"/>
      <c r="I80" s="1"/>
      <c r="J80" s="1"/>
      <c r="K80" s="1"/>
      <c r="L80" s="1"/>
    </row>
    <row r="81" spans="1:12" ht="13">
      <c r="A81" s="1"/>
      <c r="B81" s="1"/>
      <c r="C81" s="1"/>
      <c r="D81" s="1"/>
      <c r="E81" s="1"/>
      <c r="F81" s="1"/>
      <c r="G81" s="1"/>
      <c r="H81" s="1"/>
      <c r="I81" s="1"/>
      <c r="J81" s="1"/>
      <c r="K81" s="1"/>
      <c r="L81" s="1"/>
    </row>
    <row r="82" spans="1:12" ht="13">
      <c r="A82" s="1"/>
      <c r="B82" s="1"/>
      <c r="C82" s="1"/>
      <c r="D82" s="1"/>
      <c r="E82" s="1"/>
      <c r="F82" s="1"/>
      <c r="G82" s="1"/>
      <c r="H82" s="1"/>
      <c r="I82" s="1"/>
      <c r="J82" s="1"/>
      <c r="K82" s="1"/>
      <c r="L82" s="1"/>
    </row>
    <row r="83" spans="1:12" ht="13">
      <c r="A83" s="1"/>
      <c r="B83" s="1"/>
      <c r="C83" s="1"/>
      <c r="D83" s="1"/>
      <c r="E83" s="1"/>
      <c r="F83" s="1"/>
      <c r="G83" s="1"/>
      <c r="H83" s="1"/>
      <c r="I83" s="1"/>
      <c r="J83" s="1"/>
      <c r="K83" s="1"/>
      <c r="L83" s="1"/>
    </row>
    <row r="84" spans="1:12" ht="13">
      <c r="A84" s="1"/>
      <c r="B84" s="1"/>
      <c r="C84" s="1"/>
      <c r="D84" s="1"/>
      <c r="E84" s="1"/>
      <c r="F84" s="1"/>
      <c r="G84" s="1"/>
      <c r="H84" s="1"/>
      <c r="I84" s="1"/>
      <c r="J84" s="1"/>
      <c r="K84" s="1"/>
      <c r="L84" s="1"/>
    </row>
    <row r="85" spans="1:12" ht="13">
      <c r="A85" s="1"/>
      <c r="B85" s="1"/>
      <c r="C85" s="1"/>
      <c r="D85" s="1"/>
      <c r="E85" s="1"/>
      <c r="F85" s="1"/>
      <c r="G85" s="1"/>
      <c r="H85" s="1"/>
      <c r="I85" s="1"/>
      <c r="J85" s="1"/>
      <c r="K85" s="1"/>
      <c r="L85" s="1"/>
    </row>
    <row r="86" spans="1:12" ht="13">
      <c r="A86" s="1"/>
      <c r="B86" s="1"/>
      <c r="C86" s="1"/>
      <c r="D86" s="1"/>
      <c r="E86" s="1"/>
      <c r="F86" s="1"/>
      <c r="G86" s="1"/>
      <c r="H86" s="1"/>
      <c r="I86" s="1"/>
      <c r="J86" s="1"/>
      <c r="K86" s="1"/>
      <c r="L86" s="1"/>
    </row>
    <row r="87" spans="1:12" ht="13">
      <c r="A87" s="1"/>
      <c r="B87" s="1"/>
      <c r="C87" s="1"/>
      <c r="D87" s="1"/>
      <c r="E87" s="1"/>
      <c r="F87" s="1"/>
      <c r="G87" s="1"/>
      <c r="H87" s="1"/>
      <c r="I87" s="1"/>
      <c r="J87" s="1"/>
      <c r="K87" s="1"/>
      <c r="L87" s="1"/>
    </row>
    <row r="88" spans="1:12" ht="13">
      <c r="A88" s="1"/>
      <c r="B88" s="1"/>
      <c r="C88" s="1"/>
      <c r="D88" s="1"/>
      <c r="E88" s="1"/>
      <c r="F88" s="1"/>
      <c r="G88" s="1"/>
      <c r="H88" s="1"/>
      <c r="I88" s="1"/>
      <c r="J88" s="1"/>
      <c r="K88" s="1"/>
      <c r="L88" s="1"/>
    </row>
    <row r="89" spans="1:12" ht="13">
      <c r="A89" s="1"/>
      <c r="B89" s="1"/>
      <c r="C89" s="1"/>
      <c r="D89" s="1"/>
      <c r="E89" s="1"/>
      <c r="F89" s="1"/>
      <c r="G89" s="1"/>
      <c r="H89" s="1"/>
      <c r="I89" s="1"/>
      <c r="J89" s="1"/>
      <c r="K89" s="1"/>
      <c r="L89" s="1"/>
    </row>
    <row r="90" spans="1:12" ht="13">
      <c r="A90" s="1"/>
      <c r="B90" s="1"/>
      <c r="C90" s="1"/>
      <c r="D90" s="1"/>
      <c r="E90" s="1"/>
      <c r="F90" s="1"/>
      <c r="G90" s="1"/>
      <c r="H90" s="1"/>
      <c r="I90" s="1"/>
      <c r="J90" s="1"/>
      <c r="K90" s="1"/>
      <c r="L90" s="1"/>
    </row>
    <row r="91" spans="1:12" ht="13">
      <c r="A91" s="1"/>
      <c r="B91" s="1"/>
      <c r="C91" s="1"/>
      <c r="D91" s="1"/>
      <c r="E91" s="1"/>
      <c r="F91" s="1"/>
      <c r="G91" s="1"/>
      <c r="H91" s="1"/>
      <c r="I91" s="1"/>
      <c r="J91" s="1"/>
      <c r="K91" s="1"/>
      <c r="L91" s="1"/>
    </row>
    <row r="92" spans="1:12" ht="13">
      <c r="A92" s="1"/>
      <c r="B92" s="1"/>
      <c r="C92" s="1"/>
      <c r="D92" s="1"/>
      <c r="E92" s="1"/>
      <c r="F92" s="1"/>
      <c r="G92" s="1"/>
      <c r="H92" s="1"/>
      <c r="I92" s="1"/>
      <c r="J92" s="1"/>
      <c r="K92" s="1"/>
      <c r="L92" s="1"/>
    </row>
    <row r="93" spans="1:12" ht="13">
      <c r="A93" s="1"/>
      <c r="B93" s="1"/>
      <c r="C93" s="1"/>
      <c r="D93" s="1"/>
      <c r="E93" s="1"/>
      <c r="F93" s="1"/>
      <c r="G93" s="1"/>
      <c r="H93" s="1"/>
      <c r="I93" s="1"/>
      <c r="J93" s="1"/>
      <c r="K93" s="1"/>
      <c r="L93" s="1"/>
    </row>
    <row r="94" spans="1:12" ht="13">
      <c r="A94" s="1"/>
      <c r="B94" s="1"/>
      <c r="C94" s="1"/>
      <c r="D94" s="1"/>
      <c r="E94" s="1"/>
      <c r="F94" s="1"/>
      <c r="G94" s="1"/>
      <c r="H94" s="1"/>
      <c r="I94" s="1"/>
      <c r="J94" s="1"/>
      <c r="K94" s="1"/>
      <c r="L94" s="1"/>
    </row>
    <row r="95" spans="1:12" ht="13">
      <c r="A95" s="1"/>
      <c r="B95" s="1"/>
      <c r="C95" s="1"/>
      <c r="D95" s="1"/>
      <c r="E95" s="1"/>
      <c r="F95" s="1"/>
      <c r="G95" s="1"/>
      <c r="H95" s="1"/>
      <c r="I95" s="1"/>
      <c r="J95" s="1"/>
      <c r="K95" s="1"/>
      <c r="L95" s="1"/>
    </row>
    <row r="96" spans="1:12" ht="13">
      <c r="A96" s="1"/>
      <c r="B96" s="1"/>
      <c r="C96" s="1"/>
      <c r="D96" s="1"/>
      <c r="E96" s="1"/>
      <c r="F96" s="1"/>
      <c r="G96" s="1"/>
      <c r="H96" s="1"/>
      <c r="I96" s="1"/>
      <c r="J96" s="1"/>
      <c r="K96" s="1"/>
      <c r="L96" s="1"/>
    </row>
    <row r="97" spans="1:12" ht="13">
      <c r="A97" s="1"/>
      <c r="B97" s="1"/>
      <c r="C97" s="1"/>
      <c r="D97" s="1"/>
      <c r="E97" s="1"/>
      <c r="F97" s="1"/>
      <c r="G97" s="1"/>
      <c r="H97" s="1"/>
      <c r="I97" s="1"/>
      <c r="J97" s="1"/>
      <c r="K97" s="1"/>
      <c r="L97" s="1"/>
    </row>
    <row r="98" spans="1:12" ht="13">
      <c r="A98" s="1"/>
      <c r="B98" s="1"/>
      <c r="C98" s="1"/>
      <c r="D98" s="1"/>
      <c r="E98" s="1"/>
      <c r="F98" s="1"/>
      <c r="G98" s="1"/>
      <c r="H98" s="1"/>
      <c r="I98" s="1"/>
      <c r="J98" s="1"/>
      <c r="K98" s="1"/>
      <c r="L98" s="1"/>
    </row>
    <row r="99" spans="1:12" ht="13">
      <c r="A99" s="1"/>
      <c r="B99" s="1"/>
      <c r="C99" s="1"/>
      <c r="D99" s="1"/>
      <c r="E99" s="1"/>
      <c r="F99" s="1"/>
      <c r="G99" s="1"/>
      <c r="H99" s="1"/>
      <c r="I99" s="1"/>
      <c r="J99" s="1"/>
      <c r="K99" s="1"/>
      <c r="L99" s="1"/>
    </row>
    <row r="100" spans="1:12" ht="13">
      <c r="A100" s="1"/>
      <c r="B100" s="1"/>
      <c r="C100" s="1"/>
      <c r="D100" s="1"/>
      <c r="E100" s="1"/>
      <c r="F100" s="1"/>
      <c r="G100" s="1"/>
      <c r="H100" s="1"/>
      <c r="I100" s="1"/>
      <c r="J100" s="1"/>
      <c r="K100" s="1"/>
      <c r="L100" s="1"/>
    </row>
    <row r="101" spans="1:12" ht="13">
      <c r="A101" s="1"/>
      <c r="B101" s="1"/>
      <c r="C101" s="1"/>
      <c r="D101" s="1"/>
      <c r="E101" s="1"/>
      <c r="F101" s="1"/>
      <c r="G101" s="1"/>
      <c r="H101" s="1"/>
      <c r="I101" s="1"/>
      <c r="J101" s="1"/>
      <c r="K101" s="1"/>
      <c r="L101" s="1"/>
    </row>
    <row r="102" spans="1:12" ht="13">
      <c r="A102" s="1"/>
      <c r="B102" s="1"/>
      <c r="C102" s="1"/>
      <c r="D102" s="1"/>
      <c r="E102" s="1"/>
      <c r="F102" s="1"/>
      <c r="G102" s="1"/>
      <c r="H102" s="1"/>
      <c r="I102" s="1"/>
      <c r="J102" s="1"/>
      <c r="K102" s="1"/>
      <c r="L102" s="1"/>
    </row>
    <row r="103" spans="1:12" ht="13">
      <c r="A103" s="1"/>
      <c r="B103" s="1"/>
      <c r="C103" s="1"/>
      <c r="D103" s="1"/>
      <c r="E103" s="1"/>
      <c r="F103" s="1"/>
      <c r="G103" s="1"/>
      <c r="H103" s="1"/>
      <c r="I103" s="1"/>
      <c r="J103" s="1"/>
      <c r="K103" s="1"/>
      <c r="L103" s="1"/>
    </row>
    <row r="104" spans="1:12" ht="13">
      <c r="A104" s="1"/>
      <c r="B104" s="1"/>
      <c r="C104" s="1"/>
      <c r="D104" s="1"/>
      <c r="E104" s="1"/>
      <c r="F104" s="1"/>
      <c r="G104" s="1"/>
      <c r="H104" s="1"/>
      <c r="I104" s="1"/>
      <c r="J104" s="1"/>
      <c r="K104" s="1"/>
      <c r="L104" s="1"/>
    </row>
    <row r="105" spans="1:12" ht="13">
      <c r="A105" s="1"/>
      <c r="B105" s="1"/>
      <c r="C105" s="1"/>
      <c r="D105" s="1"/>
      <c r="E105" s="1"/>
      <c r="F105" s="1"/>
      <c r="G105" s="1"/>
      <c r="H105" s="1"/>
      <c r="I105" s="1"/>
      <c r="J105" s="1"/>
      <c r="K105" s="1"/>
      <c r="L105" s="1"/>
    </row>
    <row r="106" spans="1:12" ht="13">
      <c r="A106" s="1"/>
      <c r="B106" s="1"/>
      <c r="C106" s="1"/>
      <c r="D106" s="1"/>
      <c r="E106" s="1"/>
      <c r="F106" s="1"/>
      <c r="G106" s="1"/>
      <c r="H106" s="1"/>
      <c r="I106" s="1"/>
      <c r="J106" s="1"/>
      <c r="K106" s="1"/>
      <c r="L106" s="1"/>
    </row>
    <row r="107" spans="1:12" ht="13">
      <c r="A107" s="1"/>
      <c r="B107" s="1"/>
      <c r="C107" s="1"/>
      <c r="D107" s="1"/>
      <c r="E107" s="1"/>
      <c r="F107" s="1"/>
      <c r="G107" s="1"/>
      <c r="H107" s="1"/>
      <c r="I107" s="1"/>
      <c r="J107" s="1"/>
      <c r="K107" s="1"/>
      <c r="L107" s="1"/>
    </row>
    <row r="108" spans="1:12" ht="13">
      <c r="A108" s="1"/>
      <c r="B108" s="1"/>
      <c r="C108" s="1"/>
      <c r="D108" s="1"/>
      <c r="E108" s="1"/>
      <c r="F108" s="1"/>
      <c r="G108" s="1"/>
      <c r="H108" s="1"/>
      <c r="I108" s="1"/>
      <c r="J108" s="1"/>
      <c r="K108" s="1"/>
      <c r="L108" s="1"/>
    </row>
    <row r="109" spans="1:12" ht="13">
      <c r="A109" s="1"/>
      <c r="B109" s="1"/>
      <c r="C109" s="1"/>
      <c r="D109" s="1"/>
      <c r="E109" s="1"/>
      <c r="F109" s="1"/>
      <c r="G109" s="1"/>
      <c r="H109" s="1"/>
      <c r="I109" s="1"/>
      <c r="J109" s="1"/>
      <c r="K109" s="1"/>
      <c r="L109" s="1"/>
    </row>
    <row r="110" spans="1:12" ht="13">
      <c r="A110" s="1"/>
      <c r="B110" s="1"/>
      <c r="C110" s="1"/>
      <c r="D110" s="1"/>
      <c r="E110" s="1"/>
      <c r="F110" s="1"/>
      <c r="G110" s="1"/>
      <c r="H110" s="1"/>
      <c r="I110" s="1"/>
      <c r="J110" s="1"/>
      <c r="K110" s="1"/>
      <c r="L110" s="1"/>
    </row>
    <row r="111" spans="1:12" ht="13">
      <c r="A111" s="1"/>
      <c r="B111" s="1"/>
      <c r="C111" s="1"/>
      <c r="D111" s="1"/>
      <c r="E111" s="1"/>
      <c r="F111" s="1"/>
      <c r="G111" s="1"/>
      <c r="H111" s="1"/>
      <c r="I111" s="1"/>
      <c r="J111" s="1"/>
      <c r="K111" s="1"/>
      <c r="L111" s="1"/>
    </row>
    <row r="112" spans="1:12" ht="13">
      <c r="A112" s="1"/>
      <c r="B112" s="1"/>
      <c r="C112" s="1"/>
      <c r="D112" s="1"/>
      <c r="E112" s="1"/>
      <c r="F112" s="1"/>
      <c r="G112" s="1"/>
      <c r="H112" s="1"/>
      <c r="I112" s="1"/>
      <c r="J112" s="1"/>
      <c r="K112" s="1"/>
      <c r="L112" s="1"/>
    </row>
    <row r="113" spans="1:12" ht="13">
      <c r="A113" s="1"/>
      <c r="B113" s="1"/>
      <c r="C113" s="1"/>
      <c r="D113" s="1"/>
      <c r="E113" s="1"/>
      <c r="F113" s="1"/>
      <c r="G113" s="1"/>
      <c r="H113" s="1"/>
      <c r="I113" s="1"/>
      <c r="J113" s="1"/>
      <c r="K113" s="1"/>
      <c r="L113" s="1"/>
    </row>
    <row r="114" spans="1:12" ht="13">
      <c r="A114" s="1"/>
      <c r="B114" s="1"/>
      <c r="C114" s="1"/>
      <c r="D114" s="1"/>
      <c r="E114" s="1"/>
      <c r="F114" s="1"/>
      <c r="G114" s="1"/>
      <c r="H114" s="1"/>
      <c r="I114" s="1"/>
      <c r="J114" s="1"/>
      <c r="K114" s="1"/>
      <c r="L114" s="1"/>
    </row>
    <row r="115" spans="1:12" ht="13">
      <c r="A115" s="1"/>
      <c r="B115" s="1"/>
      <c r="C115" s="1"/>
      <c r="D115" s="1"/>
      <c r="E115" s="1"/>
      <c r="F115" s="1"/>
      <c r="G115" s="1"/>
      <c r="H115" s="1"/>
      <c r="I115" s="1"/>
      <c r="J115" s="1"/>
      <c r="K115" s="1"/>
      <c r="L115" s="1"/>
    </row>
    <row r="116" spans="1:12" ht="13">
      <c r="A116" s="1"/>
      <c r="B116" s="1"/>
      <c r="C116" s="1"/>
      <c r="D116" s="1"/>
      <c r="E116" s="1"/>
      <c r="F116" s="1"/>
      <c r="G116" s="1"/>
      <c r="H116" s="1"/>
      <c r="I116" s="1"/>
      <c r="J116" s="1"/>
      <c r="K116" s="1"/>
      <c r="L116" s="1"/>
    </row>
    <row r="117" spans="1:12" ht="13">
      <c r="A117" s="1"/>
      <c r="B117" s="1"/>
      <c r="C117" s="1"/>
      <c r="D117" s="1"/>
      <c r="E117" s="1"/>
      <c r="F117" s="1"/>
      <c r="G117" s="1"/>
      <c r="H117" s="1"/>
      <c r="I117" s="1"/>
      <c r="J117" s="1"/>
      <c r="K117" s="1"/>
      <c r="L117" s="1"/>
    </row>
    <row r="118" spans="1:12" ht="13">
      <c r="A118" s="1"/>
      <c r="B118" s="1"/>
      <c r="C118" s="1"/>
      <c r="D118" s="1"/>
      <c r="E118" s="1"/>
      <c r="F118" s="1"/>
      <c r="G118" s="1"/>
      <c r="H118" s="1"/>
      <c r="I118" s="1"/>
      <c r="J118" s="1"/>
      <c r="K118" s="1"/>
      <c r="L118" s="1"/>
    </row>
    <row r="119" spans="1:12" ht="13">
      <c r="A119" s="1"/>
      <c r="B119" s="1"/>
      <c r="C119" s="1"/>
      <c r="D119" s="1"/>
      <c r="E119" s="1"/>
      <c r="F119" s="1"/>
      <c r="G119" s="1"/>
      <c r="H119" s="1"/>
      <c r="I119" s="1"/>
      <c r="J119" s="1"/>
      <c r="K119" s="1"/>
      <c r="L119" s="1"/>
    </row>
    <row r="120" spans="1:12" ht="13">
      <c r="A120" s="1"/>
      <c r="B120" s="1"/>
      <c r="C120" s="1"/>
      <c r="D120" s="1"/>
      <c r="E120" s="1"/>
      <c r="F120" s="1"/>
      <c r="G120" s="1"/>
      <c r="H120" s="1"/>
      <c r="I120" s="1"/>
      <c r="J120" s="1"/>
      <c r="K120" s="1"/>
      <c r="L120" s="1"/>
    </row>
    <row r="121" spans="1:12" ht="13">
      <c r="A121" s="1"/>
      <c r="B121" s="1"/>
      <c r="C121" s="1"/>
      <c r="D121" s="1"/>
      <c r="E121" s="1"/>
      <c r="F121" s="1"/>
      <c r="G121" s="1"/>
      <c r="H121" s="1"/>
      <c r="I121" s="1"/>
      <c r="J121" s="1"/>
      <c r="K121" s="1"/>
      <c r="L121" s="1"/>
    </row>
    <row r="122" spans="1:12" ht="13">
      <c r="A122" s="1"/>
      <c r="B122" s="1"/>
      <c r="C122" s="1"/>
      <c r="D122" s="1"/>
      <c r="E122" s="1"/>
      <c r="F122" s="1"/>
      <c r="G122" s="1"/>
      <c r="H122" s="1"/>
      <c r="I122" s="1"/>
      <c r="J122" s="1"/>
      <c r="K122" s="1"/>
      <c r="L122" s="1"/>
    </row>
    <row r="123" spans="1:12" ht="13">
      <c r="A123" s="1"/>
      <c r="B123" s="1"/>
      <c r="C123" s="1"/>
      <c r="D123" s="1"/>
      <c r="E123" s="1"/>
      <c r="F123" s="1"/>
      <c r="G123" s="1"/>
      <c r="H123" s="1"/>
      <c r="I123" s="1"/>
      <c r="J123" s="1"/>
      <c r="K123" s="1"/>
      <c r="L123" s="1"/>
    </row>
    <row r="124" spans="1:12" ht="13">
      <c r="A124" s="1"/>
      <c r="B124" s="1"/>
      <c r="C124" s="1"/>
      <c r="D124" s="1"/>
      <c r="E124" s="1"/>
      <c r="F124" s="1"/>
      <c r="G124" s="1"/>
      <c r="H124" s="1"/>
      <c r="I124" s="1"/>
      <c r="J124" s="1"/>
      <c r="K124" s="1"/>
      <c r="L124" s="1"/>
    </row>
    <row r="125" spans="1:12" ht="13">
      <c r="A125" s="1"/>
      <c r="B125" s="1"/>
      <c r="C125" s="1"/>
      <c r="D125" s="1"/>
      <c r="E125" s="1"/>
      <c r="F125" s="1"/>
      <c r="G125" s="1"/>
      <c r="H125" s="1"/>
      <c r="I125" s="1"/>
      <c r="J125" s="1"/>
      <c r="K125" s="1"/>
      <c r="L125" s="1"/>
    </row>
    <row r="126" spans="1:12" ht="13">
      <c r="A126" s="1"/>
      <c r="B126" s="1"/>
      <c r="C126" s="1"/>
      <c r="D126" s="1"/>
      <c r="E126" s="1"/>
      <c r="F126" s="1"/>
      <c r="G126" s="1"/>
      <c r="H126" s="1"/>
      <c r="I126" s="1"/>
      <c r="J126" s="1"/>
      <c r="K126" s="1"/>
      <c r="L126" s="1"/>
    </row>
    <row r="127" spans="1:12" ht="13">
      <c r="A127" s="1"/>
      <c r="B127" s="1"/>
      <c r="C127" s="1"/>
      <c r="D127" s="1"/>
      <c r="E127" s="1"/>
      <c r="F127" s="1"/>
      <c r="G127" s="1"/>
      <c r="H127" s="1"/>
      <c r="I127" s="1"/>
      <c r="J127" s="1"/>
      <c r="K127" s="1"/>
      <c r="L127" s="1"/>
    </row>
    <row r="128" spans="1:12" ht="13">
      <c r="A128" s="1"/>
      <c r="B128" s="1"/>
      <c r="C128" s="1"/>
      <c r="D128" s="1"/>
      <c r="E128" s="1"/>
      <c r="F128" s="1"/>
      <c r="G128" s="1"/>
      <c r="H128" s="1"/>
      <c r="I128" s="1"/>
      <c r="J128" s="1"/>
      <c r="K128" s="1"/>
      <c r="L128" s="1"/>
    </row>
    <row r="129" spans="1:12" ht="13">
      <c r="A129" s="1"/>
      <c r="B129" s="1"/>
      <c r="C129" s="1"/>
      <c r="D129" s="1"/>
      <c r="E129" s="1"/>
      <c r="F129" s="1"/>
      <c r="G129" s="1"/>
      <c r="H129" s="1"/>
      <c r="I129" s="1"/>
      <c r="J129" s="1"/>
      <c r="K129" s="1"/>
      <c r="L129" s="1"/>
    </row>
    <row r="130" spans="1:12" ht="13">
      <c r="A130" s="1"/>
      <c r="B130" s="1"/>
      <c r="C130" s="1"/>
      <c r="D130" s="1"/>
      <c r="E130" s="1"/>
      <c r="F130" s="1"/>
      <c r="G130" s="1"/>
      <c r="H130" s="1"/>
      <c r="I130" s="1"/>
      <c r="J130" s="1"/>
      <c r="K130" s="1"/>
      <c r="L130" s="1"/>
    </row>
    <row r="131" spans="1:12" ht="13">
      <c r="A131" s="1"/>
      <c r="B131" s="1"/>
      <c r="C131" s="1"/>
      <c r="D131" s="1"/>
      <c r="E131" s="1"/>
      <c r="F131" s="1"/>
      <c r="G131" s="1"/>
      <c r="H131" s="1"/>
      <c r="I131" s="1"/>
      <c r="J131" s="1"/>
      <c r="K131" s="1"/>
      <c r="L131" s="1"/>
    </row>
    <row r="132" spans="1:12" ht="13">
      <c r="A132" s="1"/>
      <c r="B132" s="1"/>
      <c r="C132" s="1"/>
      <c r="D132" s="1"/>
      <c r="E132" s="1"/>
      <c r="F132" s="1"/>
      <c r="G132" s="1"/>
      <c r="H132" s="1"/>
      <c r="I132" s="1"/>
      <c r="J132" s="1"/>
      <c r="K132" s="1"/>
      <c r="L132" s="1"/>
    </row>
    <row r="133" spans="1:12" ht="13">
      <c r="A133" s="1"/>
      <c r="B133" s="1"/>
      <c r="C133" s="1"/>
      <c r="D133" s="1"/>
      <c r="E133" s="1"/>
      <c r="F133" s="1"/>
      <c r="G133" s="1"/>
      <c r="H133" s="1"/>
      <c r="I133" s="1"/>
      <c r="J133" s="1"/>
      <c r="K133" s="1"/>
      <c r="L133" s="1"/>
    </row>
    <row r="134" spans="1:12" ht="13">
      <c r="A134" s="1"/>
      <c r="B134" s="1"/>
      <c r="C134" s="1"/>
      <c r="D134" s="1"/>
      <c r="E134" s="1"/>
      <c r="F134" s="1"/>
      <c r="G134" s="1"/>
      <c r="H134" s="1"/>
      <c r="I134" s="1"/>
      <c r="J134" s="1"/>
      <c r="K134" s="1"/>
      <c r="L134" s="1"/>
    </row>
    <row r="135" spans="1:12" ht="13">
      <c r="A135" s="1"/>
      <c r="B135" s="1"/>
      <c r="C135" s="1"/>
      <c r="D135" s="1"/>
      <c r="E135" s="1"/>
      <c r="F135" s="1"/>
      <c r="G135" s="1"/>
      <c r="H135" s="1"/>
      <c r="I135" s="1"/>
      <c r="J135" s="1"/>
      <c r="K135" s="1"/>
      <c r="L135" s="1"/>
    </row>
    <row r="136" spans="1:12" ht="13">
      <c r="A136" s="1"/>
      <c r="B136" s="1"/>
      <c r="C136" s="1"/>
      <c r="D136" s="1"/>
      <c r="E136" s="1"/>
      <c r="F136" s="1"/>
      <c r="G136" s="1"/>
      <c r="H136" s="1"/>
      <c r="I136" s="1"/>
      <c r="J136" s="1"/>
      <c r="K136" s="1"/>
      <c r="L136" s="1"/>
    </row>
    <row r="137" spans="1:12" ht="13">
      <c r="A137" s="1"/>
      <c r="B137" s="1"/>
      <c r="C137" s="1"/>
      <c r="D137" s="1"/>
      <c r="E137" s="1"/>
      <c r="F137" s="1"/>
      <c r="G137" s="1"/>
      <c r="H137" s="1"/>
      <c r="I137" s="1"/>
      <c r="J137" s="1"/>
      <c r="K137" s="1"/>
      <c r="L137" s="1"/>
    </row>
    <row r="138" spans="1:12" ht="13">
      <c r="A138" s="1"/>
      <c r="B138" s="1"/>
      <c r="C138" s="1"/>
      <c r="D138" s="1"/>
      <c r="E138" s="1"/>
      <c r="F138" s="1"/>
      <c r="G138" s="1"/>
      <c r="H138" s="1"/>
      <c r="I138" s="1"/>
      <c r="J138" s="1"/>
      <c r="K138" s="1"/>
      <c r="L138" s="1"/>
    </row>
    <row r="139" spans="1:12" ht="13">
      <c r="A139" s="1"/>
      <c r="B139" s="1"/>
      <c r="C139" s="1"/>
      <c r="D139" s="1"/>
      <c r="E139" s="1"/>
      <c r="F139" s="1"/>
      <c r="G139" s="1"/>
      <c r="H139" s="1"/>
      <c r="I139" s="1"/>
      <c r="J139" s="1"/>
      <c r="K139" s="1"/>
      <c r="L139" s="1"/>
    </row>
    <row r="140" spans="1:12" ht="13">
      <c r="A140" s="1"/>
      <c r="B140" s="1"/>
      <c r="C140" s="1"/>
      <c r="D140" s="1"/>
      <c r="E140" s="1"/>
      <c r="F140" s="1"/>
      <c r="G140" s="1"/>
      <c r="H140" s="1"/>
      <c r="I140" s="1"/>
      <c r="J140" s="1"/>
      <c r="K140" s="1"/>
      <c r="L140" s="1"/>
    </row>
  </sheetData>
  <mergeCells count="50">
    <mergeCell ref="A26:E26"/>
    <mergeCell ref="A27:E27"/>
    <mergeCell ref="A47:E47"/>
    <mergeCell ref="A48:C48"/>
    <mergeCell ref="D48:E48"/>
    <mergeCell ref="A41:C41"/>
    <mergeCell ref="A22:E22"/>
    <mergeCell ref="A23:E23"/>
    <mergeCell ref="A24:C24"/>
    <mergeCell ref="D24:E24"/>
    <mergeCell ref="A25:E25"/>
    <mergeCell ref="A19:C19"/>
    <mergeCell ref="D19:E19"/>
    <mergeCell ref="A20:C20"/>
    <mergeCell ref="D20:E20"/>
    <mergeCell ref="A21:C21"/>
    <mergeCell ref="D21:E21"/>
    <mergeCell ref="A16:C16"/>
    <mergeCell ref="D16:E16"/>
    <mergeCell ref="A17:C17"/>
    <mergeCell ref="D17:E17"/>
    <mergeCell ref="D18:E18"/>
    <mergeCell ref="A18:C18"/>
    <mergeCell ref="A13:C13"/>
    <mergeCell ref="D13:E13"/>
    <mergeCell ref="A14:C14"/>
    <mergeCell ref="D14:E14"/>
    <mergeCell ref="A15:C15"/>
    <mergeCell ref="D15:E15"/>
    <mergeCell ref="A6:E6"/>
    <mergeCell ref="A7:E7"/>
    <mergeCell ref="A8:E8"/>
    <mergeCell ref="A10:E10"/>
    <mergeCell ref="A11:E11"/>
    <mergeCell ref="A1:E1"/>
    <mergeCell ref="A2:E2"/>
    <mergeCell ref="A3:E3"/>
    <mergeCell ref="A4:E4"/>
    <mergeCell ref="A5:E5"/>
    <mergeCell ref="A45:C45"/>
    <mergeCell ref="D45:E45"/>
    <mergeCell ref="A28:E28"/>
    <mergeCell ref="D42:E42"/>
    <mergeCell ref="A42:C42"/>
    <mergeCell ref="A44:E44"/>
    <mergeCell ref="D43:E43"/>
    <mergeCell ref="A43:C43"/>
    <mergeCell ref="A29:E29"/>
    <mergeCell ref="A40:E40"/>
    <mergeCell ref="D41:E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33"/>
  <sheetViews>
    <sheetView workbookViewId="0">
      <selection sqref="A1:D1"/>
    </sheetView>
  </sheetViews>
  <sheetFormatPr baseColWidth="10" defaultColWidth="11.1640625" defaultRowHeight="15.75" customHeight="1"/>
  <cols>
    <col min="1" max="1" width="50.1640625" customWidth="1"/>
    <col min="2" max="2" width="30.5" customWidth="1"/>
    <col min="3" max="3" width="40.83203125" customWidth="1"/>
    <col min="4" max="4" width="42.1640625" customWidth="1"/>
  </cols>
  <sheetData>
    <row r="1" spans="1:10" ht="23.25" customHeight="1">
      <c r="A1" s="145" t="s">
        <v>19</v>
      </c>
      <c r="B1" s="146"/>
      <c r="C1" s="146"/>
      <c r="D1" s="147"/>
      <c r="E1" s="3"/>
      <c r="F1" s="1"/>
      <c r="G1" s="1"/>
      <c r="H1" s="1"/>
      <c r="I1" s="1"/>
      <c r="J1" s="1"/>
    </row>
    <row r="2" spans="1:10" ht="18">
      <c r="A2" s="145" t="s">
        <v>96</v>
      </c>
      <c r="B2" s="117"/>
      <c r="C2" s="117"/>
      <c r="D2" s="118"/>
      <c r="E2" s="5"/>
      <c r="F2" s="1"/>
      <c r="G2" s="1"/>
      <c r="H2" s="1"/>
      <c r="I2" s="1"/>
      <c r="J2" s="1"/>
    </row>
    <row r="3" spans="1:10" ht="16">
      <c r="A3" s="148"/>
      <c r="B3" s="79"/>
      <c r="C3" s="79"/>
      <c r="D3" s="79"/>
      <c r="E3" s="23"/>
      <c r="F3" s="1"/>
      <c r="G3" s="1"/>
      <c r="H3" s="1"/>
      <c r="I3" s="1"/>
      <c r="J3" s="1"/>
    </row>
    <row r="4" spans="1:10" ht="13">
      <c r="A4" s="135" t="s">
        <v>97</v>
      </c>
      <c r="B4" s="88"/>
      <c r="C4" s="88"/>
      <c r="D4" s="100"/>
      <c r="E4" s="23"/>
      <c r="F4" s="1"/>
      <c r="G4" s="1"/>
      <c r="H4" s="1"/>
      <c r="I4" s="1"/>
      <c r="J4" s="1"/>
    </row>
    <row r="5" spans="1:10" ht="13">
      <c r="A5" s="136" t="s">
        <v>98</v>
      </c>
      <c r="B5" s="100"/>
      <c r="C5" s="149">
        <v>43738</v>
      </c>
      <c r="D5" s="100"/>
      <c r="E5" s="23"/>
      <c r="F5" s="1"/>
      <c r="G5" s="1"/>
      <c r="H5" s="1"/>
      <c r="I5" s="1"/>
      <c r="J5" s="1"/>
    </row>
    <row r="6" spans="1:10" ht="13">
      <c r="A6" s="136" t="s">
        <v>99</v>
      </c>
      <c r="B6" s="100"/>
      <c r="C6" s="150">
        <v>43742</v>
      </c>
      <c r="D6" s="100"/>
      <c r="E6" s="23"/>
      <c r="F6" s="1"/>
      <c r="G6" s="1"/>
      <c r="H6" s="1"/>
      <c r="I6" s="1"/>
      <c r="J6" s="1"/>
    </row>
    <row r="7" spans="1:10" ht="13">
      <c r="A7" s="136" t="s">
        <v>100</v>
      </c>
      <c r="B7" s="100"/>
      <c r="C7" s="149">
        <v>43749</v>
      </c>
      <c r="D7" s="100"/>
      <c r="E7" s="23"/>
      <c r="F7" s="1"/>
      <c r="G7" s="1"/>
      <c r="H7" s="1"/>
      <c r="I7" s="1"/>
      <c r="J7" s="1"/>
    </row>
    <row r="8" spans="1:10" ht="13">
      <c r="A8" s="136" t="s">
        <v>101</v>
      </c>
      <c r="B8" s="100"/>
      <c r="C8" s="149">
        <v>43753</v>
      </c>
      <c r="D8" s="100"/>
      <c r="E8" s="23"/>
      <c r="F8" s="1"/>
      <c r="G8" s="1"/>
      <c r="H8" s="1"/>
      <c r="I8" s="1"/>
      <c r="J8" s="1"/>
    </row>
    <row r="9" spans="1:10" ht="16">
      <c r="A9" s="137"/>
      <c r="B9" s="82"/>
      <c r="C9" s="82"/>
      <c r="D9" s="82"/>
      <c r="E9" s="23"/>
      <c r="F9" s="1"/>
      <c r="G9" s="1"/>
      <c r="H9" s="1"/>
      <c r="I9" s="1"/>
      <c r="J9" s="1"/>
    </row>
    <row r="10" spans="1:10" ht="22.5" customHeight="1">
      <c r="A10" s="135" t="s">
        <v>102</v>
      </c>
      <c r="B10" s="88"/>
      <c r="C10" s="88"/>
      <c r="D10" s="100"/>
      <c r="E10" s="23"/>
      <c r="F10" s="1"/>
      <c r="G10" s="1"/>
      <c r="H10" s="1"/>
      <c r="I10" s="1"/>
      <c r="J10" s="1"/>
    </row>
    <row r="11" spans="1:10" ht="13">
      <c r="A11" s="136" t="s">
        <v>103</v>
      </c>
      <c r="B11" s="100"/>
      <c r="C11" s="136">
        <v>60</v>
      </c>
      <c r="D11" s="100"/>
      <c r="E11" s="23"/>
      <c r="F11" s="1"/>
      <c r="G11" s="1"/>
      <c r="H11" s="1"/>
      <c r="I11" s="1"/>
      <c r="J11" s="1"/>
    </row>
    <row r="12" spans="1:10" ht="13">
      <c r="A12" s="136" t="s">
        <v>104</v>
      </c>
      <c r="B12" s="100"/>
      <c r="C12" s="136" t="s">
        <v>105</v>
      </c>
      <c r="D12" s="100"/>
      <c r="E12" s="23"/>
      <c r="F12" s="1"/>
      <c r="G12" s="1"/>
      <c r="H12" s="1"/>
      <c r="I12" s="1"/>
      <c r="J12" s="1"/>
    </row>
    <row r="13" spans="1:10" ht="13">
      <c r="A13" s="136" t="s">
        <v>106</v>
      </c>
      <c r="B13" s="100"/>
      <c r="C13" s="136">
        <v>60.35</v>
      </c>
      <c r="D13" s="100"/>
      <c r="E13" s="23"/>
      <c r="F13" s="1"/>
      <c r="G13" s="1"/>
      <c r="H13" s="1"/>
      <c r="I13" s="1"/>
      <c r="J13" s="1"/>
    </row>
    <row r="14" spans="1:10" ht="13">
      <c r="A14" s="136" t="s">
        <v>107</v>
      </c>
      <c r="B14" s="100"/>
      <c r="C14" s="136">
        <f>ROUND((C13 - C11)/C11*100,4)</f>
        <v>0.58330000000000004</v>
      </c>
      <c r="D14" s="100"/>
      <c r="E14" s="23"/>
      <c r="F14" s="1"/>
      <c r="G14" s="1"/>
      <c r="H14" s="1"/>
      <c r="I14" s="1"/>
      <c r="J14" s="1"/>
    </row>
    <row r="15" spans="1:10" ht="13">
      <c r="A15" s="138" t="s">
        <v>108</v>
      </c>
      <c r="B15" s="88"/>
      <c r="C15" s="88"/>
      <c r="D15" s="100"/>
      <c r="E15" s="23"/>
      <c r="F15" s="1"/>
      <c r="G15" s="1"/>
      <c r="H15" s="1"/>
      <c r="I15" s="1"/>
      <c r="J15" s="1"/>
    </row>
    <row r="16" spans="1:10" ht="16">
      <c r="A16" s="26"/>
      <c r="B16" s="26"/>
      <c r="C16" s="26"/>
      <c r="D16" s="26"/>
      <c r="E16" s="23"/>
      <c r="F16" s="1"/>
      <c r="G16" s="1"/>
      <c r="H16" s="1"/>
      <c r="I16" s="1"/>
      <c r="J16" s="1"/>
    </row>
    <row r="17" spans="1:10" ht="13">
      <c r="A17" s="135" t="s">
        <v>109</v>
      </c>
      <c r="B17" s="88"/>
      <c r="C17" s="88"/>
      <c r="D17" s="100"/>
      <c r="E17" s="23"/>
      <c r="F17" s="1"/>
      <c r="G17" s="1"/>
      <c r="H17" s="1"/>
      <c r="I17" s="1"/>
      <c r="J17" s="1"/>
    </row>
    <row r="18" spans="1:10" ht="13">
      <c r="A18" s="151" t="s">
        <v>110</v>
      </c>
      <c r="B18" s="141"/>
      <c r="C18" s="141"/>
      <c r="D18" s="142"/>
      <c r="E18" s="23"/>
      <c r="F18" s="1"/>
      <c r="G18" s="1"/>
      <c r="H18" s="1"/>
      <c r="I18" s="1"/>
      <c r="J18" s="1"/>
    </row>
    <row r="19" spans="1:10" ht="13">
      <c r="A19" s="138" t="s">
        <v>111</v>
      </c>
      <c r="B19" s="88"/>
      <c r="C19" s="88"/>
      <c r="D19" s="100"/>
      <c r="E19" s="1"/>
      <c r="F19" s="1"/>
      <c r="G19" s="1"/>
      <c r="H19" s="1"/>
      <c r="I19" s="1"/>
      <c r="J19" s="1"/>
    </row>
    <row r="20" spans="1:10" ht="16">
      <c r="A20" s="27"/>
      <c r="B20" s="27"/>
      <c r="C20" s="27"/>
      <c r="D20" s="27"/>
      <c r="E20" s="23"/>
      <c r="F20" s="1"/>
      <c r="G20" s="1"/>
      <c r="H20" s="1"/>
      <c r="I20" s="1"/>
      <c r="J20" s="1"/>
    </row>
    <row r="21" spans="1:10" ht="22.5" customHeight="1">
      <c r="A21" s="135" t="s">
        <v>112</v>
      </c>
      <c r="B21" s="88"/>
      <c r="C21" s="88"/>
      <c r="D21" s="100"/>
      <c r="E21" s="23"/>
      <c r="F21" s="1"/>
      <c r="G21" s="1"/>
      <c r="H21" s="1"/>
      <c r="I21" s="1"/>
      <c r="J21" s="1"/>
    </row>
    <row r="22" spans="1:10" ht="17">
      <c r="A22" s="28"/>
      <c r="B22" s="28" t="s">
        <v>113</v>
      </c>
      <c r="C22" s="28" t="s">
        <v>114</v>
      </c>
      <c r="D22" s="28" t="s">
        <v>115</v>
      </c>
      <c r="E22" s="23"/>
      <c r="F22" s="1"/>
      <c r="G22" s="1"/>
      <c r="H22" s="1"/>
      <c r="I22" s="1"/>
      <c r="J22" s="1"/>
    </row>
    <row r="23" spans="1:10" ht="17">
      <c r="A23" s="28" t="s">
        <v>116</v>
      </c>
      <c r="B23" s="28">
        <v>10000000</v>
      </c>
      <c r="C23" s="28">
        <v>60</v>
      </c>
      <c r="D23" s="28">
        <f t="shared" ref="D23:D25" si="0">B23*C23</f>
        <v>600000000</v>
      </c>
      <c r="E23" s="23"/>
      <c r="F23" s="1"/>
      <c r="G23" s="1"/>
      <c r="H23" s="1"/>
      <c r="I23" s="1"/>
      <c r="J23" s="1"/>
    </row>
    <row r="24" spans="1:10" ht="17">
      <c r="A24" s="28" t="s">
        <v>117</v>
      </c>
      <c r="B24" s="28">
        <v>3000000</v>
      </c>
      <c r="C24" s="28">
        <v>60</v>
      </c>
      <c r="D24" s="28">
        <f t="shared" si="0"/>
        <v>180000000</v>
      </c>
      <c r="E24" s="23"/>
      <c r="F24" s="1"/>
      <c r="G24" s="1"/>
      <c r="H24" s="1"/>
      <c r="I24" s="1"/>
      <c r="J24" s="1"/>
    </row>
    <row r="25" spans="1:10" ht="17">
      <c r="A25" s="28" t="s">
        <v>118</v>
      </c>
      <c r="B25" s="28">
        <v>7000000</v>
      </c>
      <c r="C25" s="28">
        <v>60</v>
      </c>
      <c r="D25" s="28">
        <f t="shared" si="0"/>
        <v>420000000</v>
      </c>
      <c r="E25" s="23"/>
      <c r="F25" s="1"/>
      <c r="G25" s="1"/>
      <c r="H25" s="1"/>
      <c r="I25" s="1"/>
      <c r="J25" s="1"/>
    </row>
    <row r="26" spans="1:10" ht="68">
      <c r="A26" s="28"/>
      <c r="B26" s="28" t="s">
        <v>119</v>
      </c>
      <c r="C26" s="136" t="s">
        <v>120</v>
      </c>
      <c r="D26" s="100"/>
      <c r="E26" s="23"/>
      <c r="F26" s="1"/>
      <c r="G26" s="1"/>
      <c r="H26" s="1"/>
      <c r="I26" s="1"/>
      <c r="J26" s="1"/>
    </row>
    <row r="27" spans="1:10" ht="16">
      <c r="A27" s="137"/>
      <c r="B27" s="82"/>
      <c r="C27" s="82"/>
      <c r="D27" s="82"/>
      <c r="E27" s="23"/>
      <c r="F27" s="1"/>
      <c r="G27" s="1"/>
      <c r="H27" s="1"/>
      <c r="I27" s="1"/>
      <c r="J27" s="1"/>
    </row>
    <row r="28" spans="1:10" ht="13">
      <c r="A28" s="135" t="s">
        <v>121</v>
      </c>
      <c r="B28" s="88"/>
      <c r="C28" s="88"/>
      <c r="D28" s="100"/>
      <c r="E28" s="23"/>
      <c r="F28" s="1"/>
      <c r="G28" s="1"/>
      <c r="H28" s="1"/>
      <c r="I28" s="1"/>
      <c r="J28" s="1"/>
    </row>
    <row r="29" spans="1:10" ht="13">
      <c r="A29" s="138">
        <v>1.1200000000000001</v>
      </c>
      <c r="B29" s="100"/>
      <c r="C29" s="138" t="s">
        <v>122</v>
      </c>
      <c r="D29" s="100"/>
      <c r="E29" s="23"/>
      <c r="F29" s="1"/>
      <c r="G29" s="1"/>
      <c r="H29" s="1"/>
      <c r="I29" s="1"/>
      <c r="J29" s="1"/>
    </row>
    <row r="30" spans="1:10" ht="14">
      <c r="A30" s="29" t="s">
        <v>123</v>
      </c>
      <c r="B30" s="29" t="s">
        <v>124</v>
      </c>
      <c r="C30" s="29" t="s">
        <v>125</v>
      </c>
      <c r="D30" s="29" t="s">
        <v>126</v>
      </c>
      <c r="E30" s="30"/>
      <c r="F30" s="1"/>
      <c r="G30" s="1"/>
      <c r="H30" s="1"/>
      <c r="I30" s="1"/>
      <c r="J30" s="1"/>
    </row>
    <row r="31" spans="1:10" ht="14">
      <c r="A31" s="31" t="s">
        <v>127</v>
      </c>
      <c r="B31" s="31">
        <f t="shared" ref="B31:B34" si="1">D31/C31</f>
        <v>1.0000800000000001</v>
      </c>
      <c r="C31" s="31">
        <v>1000000</v>
      </c>
      <c r="D31" s="31">
        <v>1000080</v>
      </c>
      <c r="F31" s="1"/>
      <c r="G31" s="1"/>
      <c r="H31" s="1"/>
      <c r="I31" s="1"/>
      <c r="J31" s="1"/>
    </row>
    <row r="32" spans="1:10" ht="14">
      <c r="A32" s="31" t="s">
        <v>128</v>
      </c>
      <c r="B32" s="31">
        <f t="shared" si="1"/>
        <v>1.75644</v>
      </c>
      <c r="C32" s="31">
        <v>4000000</v>
      </c>
      <c r="D32" s="31">
        <v>7025760</v>
      </c>
      <c r="F32" s="1"/>
      <c r="G32" s="1"/>
      <c r="H32" s="1"/>
      <c r="I32" s="1"/>
      <c r="J32" s="1"/>
    </row>
    <row r="33" spans="1:10" ht="14">
      <c r="A33" s="31" t="s">
        <v>129</v>
      </c>
      <c r="B33" s="31">
        <f t="shared" si="1"/>
        <v>0.63575999999999999</v>
      </c>
      <c r="C33" s="31">
        <v>5000000</v>
      </c>
      <c r="D33" s="31">
        <v>3178800</v>
      </c>
      <c r="F33" s="1"/>
      <c r="G33" s="1"/>
      <c r="H33" s="1"/>
      <c r="I33" s="1"/>
      <c r="J33" s="1"/>
    </row>
    <row r="34" spans="1:10" ht="14">
      <c r="A34" s="31" t="s">
        <v>130</v>
      </c>
      <c r="B34" s="31">
        <f t="shared" si="1"/>
        <v>1.1204639999999999</v>
      </c>
      <c r="C34" s="31">
        <v>10000000</v>
      </c>
      <c r="D34" s="31">
        <v>11204640</v>
      </c>
      <c r="F34" s="1"/>
      <c r="G34" s="1"/>
      <c r="H34" s="1"/>
      <c r="I34" s="1"/>
      <c r="J34" s="1"/>
    </row>
    <row r="35" spans="1:10" ht="16">
      <c r="A35" s="32"/>
      <c r="B35" s="32"/>
      <c r="C35" s="32"/>
      <c r="D35" s="32"/>
      <c r="E35" s="1"/>
      <c r="F35" s="1"/>
      <c r="G35" s="1"/>
      <c r="H35" s="1"/>
      <c r="I35" s="1"/>
      <c r="J35" s="1"/>
    </row>
    <row r="36" spans="1:10" ht="13">
      <c r="A36" s="135" t="s">
        <v>131</v>
      </c>
      <c r="B36" s="88"/>
      <c r="C36" s="88"/>
      <c r="D36" s="100"/>
      <c r="E36" s="23"/>
      <c r="F36" s="1"/>
      <c r="G36" s="1"/>
      <c r="H36" s="1"/>
      <c r="I36" s="1"/>
      <c r="J36" s="1"/>
    </row>
    <row r="37" spans="1:10" ht="13">
      <c r="A37" s="136" t="s">
        <v>132</v>
      </c>
      <c r="B37" s="100"/>
      <c r="C37" s="136" t="s">
        <v>133</v>
      </c>
      <c r="D37" s="100"/>
      <c r="E37" s="23"/>
      <c r="F37" s="1"/>
      <c r="G37" s="1"/>
      <c r="H37" s="1"/>
      <c r="I37" s="1"/>
      <c r="J37" s="1"/>
    </row>
    <row r="38" spans="1:10" ht="16">
      <c r="A38" s="137"/>
      <c r="B38" s="82"/>
      <c r="C38" s="82"/>
      <c r="D38" s="82"/>
      <c r="E38" s="23"/>
      <c r="F38" s="1"/>
      <c r="G38" s="1"/>
      <c r="H38" s="1"/>
      <c r="I38" s="1"/>
      <c r="J38" s="1"/>
    </row>
    <row r="39" spans="1:10" ht="13">
      <c r="A39" s="135" t="s">
        <v>134</v>
      </c>
      <c r="B39" s="88"/>
      <c r="C39" s="88"/>
      <c r="D39" s="100"/>
      <c r="E39" s="23"/>
      <c r="F39" s="1"/>
      <c r="G39" s="1"/>
      <c r="H39" s="1"/>
      <c r="I39" s="1"/>
      <c r="J39" s="1"/>
    </row>
    <row r="40" spans="1:10" ht="17">
      <c r="A40" s="136"/>
      <c r="B40" s="100"/>
      <c r="C40" s="28" t="s">
        <v>135</v>
      </c>
      <c r="D40" s="28" t="s">
        <v>136</v>
      </c>
      <c r="E40" s="23"/>
      <c r="F40" s="1"/>
      <c r="G40" s="1"/>
      <c r="H40" s="1"/>
      <c r="I40" s="1"/>
      <c r="J40" s="1"/>
    </row>
    <row r="41" spans="1:10" ht="32.25" customHeight="1">
      <c r="A41" s="136" t="s">
        <v>137</v>
      </c>
      <c r="B41" s="100"/>
      <c r="C41" s="33">
        <v>0.54220000000000002</v>
      </c>
      <c r="D41" s="33">
        <v>0.45779999999999998</v>
      </c>
      <c r="E41" s="23"/>
      <c r="F41" s="1"/>
      <c r="G41" s="1"/>
      <c r="H41" s="1"/>
      <c r="I41" s="1"/>
      <c r="J41" s="1"/>
    </row>
    <row r="42" spans="1:10" ht="33" customHeight="1">
      <c r="A42" s="136" t="s">
        <v>138</v>
      </c>
      <c r="B42" s="100"/>
      <c r="C42" s="33">
        <v>0.32829999999999998</v>
      </c>
      <c r="D42" s="33">
        <v>0.67169999999999996</v>
      </c>
      <c r="E42" s="23"/>
      <c r="F42" s="1"/>
      <c r="G42" s="1"/>
      <c r="H42" s="1"/>
      <c r="I42" s="1"/>
      <c r="J42" s="1"/>
    </row>
    <row r="43" spans="1:10" ht="16">
      <c r="A43" s="152"/>
      <c r="B43" s="82"/>
      <c r="C43" s="82"/>
      <c r="D43" s="82"/>
      <c r="E43" s="23"/>
      <c r="F43" s="1"/>
      <c r="G43" s="1"/>
      <c r="H43" s="1"/>
      <c r="I43" s="1"/>
      <c r="J43" s="1"/>
    </row>
    <row r="44" spans="1:10" ht="13">
      <c r="A44" s="152"/>
      <c r="B44" s="82"/>
      <c r="C44" s="82"/>
      <c r="D44" s="82"/>
      <c r="E44" s="23"/>
      <c r="F44" s="1"/>
      <c r="G44" s="1"/>
      <c r="H44" s="1"/>
      <c r="I44" s="1"/>
      <c r="J44" s="1"/>
    </row>
    <row r="45" spans="1:10" ht="13">
      <c r="A45" s="82"/>
      <c r="B45" s="82"/>
      <c r="C45" s="82"/>
      <c r="D45" s="82"/>
      <c r="E45" s="23"/>
      <c r="F45" s="1"/>
      <c r="G45" s="1"/>
      <c r="H45" s="1"/>
      <c r="I45" s="1"/>
      <c r="J45" s="1"/>
    </row>
    <row r="46" spans="1:10" ht="13">
      <c r="A46" s="82"/>
      <c r="B46" s="82"/>
      <c r="C46" s="82"/>
      <c r="D46" s="82"/>
      <c r="E46" s="23"/>
      <c r="F46" s="1"/>
      <c r="G46" s="1"/>
      <c r="H46" s="1"/>
      <c r="I46" s="1"/>
      <c r="J46" s="1"/>
    </row>
    <row r="47" spans="1:10" ht="13">
      <c r="A47" s="82"/>
      <c r="B47" s="82"/>
      <c r="C47" s="82"/>
      <c r="D47" s="82"/>
      <c r="E47" s="23"/>
      <c r="F47" s="1"/>
      <c r="G47" s="1"/>
      <c r="H47" s="1"/>
      <c r="I47" s="1"/>
      <c r="J47" s="1"/>
    </row>
    <row r="48" spans="1:10" ht="13">
      <c r="A48" s="82"/>
      <c r="B48" s="82"/>
      <c r="C48" s="82"/>
      <c r="D48" s="82"/>
      <c r="E48" s="23"/>
      <c r="F48" s="1"/>
      <c r="G48" s="1"/>
      <c r="H48" s="1"/>
      <c r="I48" s="1"/>
      <c r="J48" s="1"/>
    </row>
    <row r="49" spans="1:10" ht="13">
      <c r="A49" s="82"/>
      <c r="B49" s="82"/>
      <c r="C49" s="82"/>
      <c r="D49" s="82"/>
      <c r="E49" s="23"/>
      <c r="F49" s="1"/>
      <c r="G49" s="1"/>
      <c r="H49" s="1"/>
      <c r="I49" s="1"/>
      <c r="J49" s="1"/>
    </row>
    <row r="50" spans="1:10" ht="13">
      <c r="A50" s="82"/>
      <c r="B50" s="82"/>
      <c r="C50" s="82"/>
      <c r="D50" s="82"/>
      <c r="E50" s="23"/>
      <c r="F50" s="1"/>
      <c r="G50" s="1"/>
      <c r="H50" s="1"/>
      <c r="I50" s="1"/>
      <c r="J50" s="1"/>
    </row>
    <row r="51" spans="1:10" ht="13">
      <c r="A51" s="82"/>
      <c r="B51" s="82"/>
      <c r="C51" s="82"/>
      <c r="D51" s="82"/>
      <c r="E51" s="23"/>
      <c r="F51" s="1"/>
      <c r="G51" s="1"/>
      <c r="H51" s="1"/>
      <c r="I51" s="1"/>
      <c r="J51" s="1"/>
    </row>
    <row r="52" spans="1:10" ht="13">
      <c r="A52" s="82"/>
      <c r="B52" s="82"/>
      <c r="C52" s="82"/>
      <c r="D52" s="82"/>
      <c r="E52" s="23"/>
      <c r="F52" s="1"/>
      <c r="G52" s="1"/>
      <c r="H52" s="1"/>
      <c r="I52" s="1"/>
      <c r="J52" s="1"/>
    </row>
    <row r="53" spans="1:10" ht="13">
      <c r="A53" s="82"/>
      <c r="B53" s="82"/>
      <c r="C53" s="82"/>
      <c r="D53" s="82"/>
      <c r="E53" s="23"/>
      <c r="F53" s="1"/>
      <c r="G53" s="1"/>
      <c r="H53" s="1"/>
      <c r="I53" s="1"/>
      <c r="J53" s="1"/>
    </row>
    <row r="54" spans="1:10" ht="13">
      <c r="A54" s="82"/>
      <c r="B54" s="82"/>
      <c r="C54" s="82"/>
      <c r="D54" s="82"/>
      <c r="E54" s="23"/>
      <c r="F54" s="1"/>
      <c r="G54" s="1"/>
      <c r="H54" s="1"/>
      <c r="I54" s="1"/>
      <c r="J54" s="1"/>
    </row>
    <row r="55" spans="1:10" ht="13">
      <c r="A55" s="82"/>
      <c r="B55" s="82"/>
      <c r="C55" s="82"/>
      <c r="D55" s="82"/>
      <c r="E55" s="23"/>
      <c r="F55" s="1"/>
      <c r="G55" s="1"/>
      <c r="H55" s="1"/>
      <c r="I55" s="1"/>
      <c r="J55" s="1"/>
    </row>
    <row r="56" spans="1:10" ht="13">
      <c r="A56" s="82"/>
      <c r="B56" s="82"/>
      <c r="C56" s="82"/>
      <c r="D56" s="82"/>
      <c r="E56" s="23"/>
      <c r="F56" s="1"/>
      <c r="G56" s="1"/>
      <c r="H56" s="1"/>
      <c r="I56" s="1"/>
      <c r="J56" s="1"/>
    </row>
    <row r="57" spans="1:10" ht="13">
      <c r="A57" s="82"/>
      <c r="B57" s="82"/>
      <c r="C57" s="82"/>
      <c r="D57" s="82"/>
      <c r="E57" s="23"/>
      <c r="F57" s="1"/>
      <c r="G57" s="1"/>
      <c r="H57" s="1"/>
      <c r="I57" s="1"/>
      <c r="J57" s="1"/>
    </row>
    <row r="58" spans="1:10" ht="13">
      <c r="A58" s="82"/>
      <c r="B58" s="82"/>
      <c r="C58" s="82"/>
      <c r="D58" s="82"/>
      <c r="E58" s="23"/>
      <c r="F58" s="1"/>
      <c r="G58" s="1"/>
      <c r="H58" s="1"/>
      <c r="I58" s="1"/>
      <c r="J58" s="1"/>
    </row>
    <row r="59" spans="1:10" ht="13">
      <c r="A59" s="82"/>
      <c r="B59" s="82"/>
      <c r="C59" s="82"/>
      <c r="D59" s="82"/>
      <c r="E59" s="23"/>
      <c r="F59" s="1"/>
      <c r="G59" s="1"/>
      <c r="H59" s="1"/>
      <c r="I59" s="1"/>
      <c r="J59" s="1"/>
    </row>
    <row r="60" spans="1:10" ht="16">
      <c r="A60" s="32"/>
      <c r="B60" s="32"/>
      <c r="C60" s="32"/>
      <c r="D60" s="32"/>
      <c r="E60" s="23"/>
      <c r="F60" s="1"/>
      <c r="G60" s="1"/>
      <c r="H60" s="1"/>
      <c r="I60" s="1"/>
      <c r="J60" s="1"/>
    </row>
    <row r="61" spans="1:10" ht="13">
      <c r="A61" s="135" t="s">
        <v>139</v>
      </c>
      <c r="B61" s="88"/>
      <c r="C61" s="88"/>
      <c r="D61" s="100"/>
      <c r="E61" s="23"/>
      <c r="F61" s="1"/>
      <c r="G61" s="1"/>
      <c r="H61" s="1"/>
      <c r="I61" s="1"/>
      <c r="J61" s="1"/>
    </row>
    <row r="62" spans="1:10" ht="13">
      <c r="A62" s="136" t="s">
        <v>140</v>
      </c>
      <c r="B62" s="88"/>
      <c r="C62" s="88"/>
      <c r="D62" s="100"/>
      <c r="E62" s="23"/>
      <c r="F62" s="1"/>
      <c r="G62" s="1"/>
      <c r="H62" s="1"/>
      <c r="I62" s="1"/>
      <c r="J62" s="1"/>
    </row>
    <row r="63" spans="1:10" ht="16">
      <c r="A63" s="152"/>
      <c r="B63" s="82"/>
      <c r="C63" s="82"/>
      <c r="D63" s="82"/>
      <c r="E63" s="23"/>
      <c r="F63" s="1"/>
      <c r="G63" s="1"/>
      <c r="H63" s="1"/>
      <c r="I63" s="1"/>
      <c r="J63" s="1"/>
    </row>
    <row r="64" spans="1:10" ht="22.5" customHeight="1">
      <c r="A64" s="135" t="s">
        <v>141</v>
      </c>
      <c r="B64" s="88"/>
      <c r="C64" s="88"/>
      <c r="D64" s="100"/>
      <c r="E64" s="23"/>
      <c r="F64" s="1"/>
      <c r="G64" s="1"/>
      <c r="H64" s="1"/>
      <c r="I64" s="1"/>
      <c r="J64" s="1"/>
    </row>
    <row r="65" spans="1:10" ht="13">
      <c r="A65" s="136" t="s">
        <v>142</v>
      </c>
      <c r="B65" s="88"/>
      <c r="C65" s="88"/>
      <c r="D65" s="100"/>
      <c r="E65" s="23"/>
      <c r="F65" s="1"/>
      <c r="G65" s="1"/>
      <c r="H65" s="1"/>
      <c r="I65" s="1"/>
      <c r="J65" s="1"/>
    </row>
    <row r="66" spans="1:10" ht="13">
      <c r="A66" s="136" t="s">
        <v>117</v>
      </c>
      <c r="B66" s="100"/>
      <c r="C66" s="136" t="s">
        <v>143</v>
      </c>
      <c r="D66" s="100"/>
      <c r="E66" s="23"/>
      <c r="F66" s="1"/>
      <c r="G66" s="1"/>
      <c r="H66" s="1"/>
      <c r="I66" s="1"/>
      <c r="J66" s="1"/>
    </row>
    <row r="67" spans="1:10" ht="17">
      <c r="A67" s="34" t="s">
        <v>144</v>
      </c>
      <c r="B67" s="34" t="s">
        <v>145</v>
      </c>
      <c r="C67" s="138" t="s">
        <v>146</v>
      </c>
      <c r="D67" s="100"/>
      <c r="E67" s="23"/>
      <c r="F67" s="1"/>
      <c r="G67" s="1"/>
      <c r="H67" s="1"/>
      <c r="I67" s="1"/>
      <c r="J67" s="1"/>
    </row>
    <row r="68" spans="1:10" ht="17">
      <c r="A68" s="28" t="s">
        <v>147</v>
      </c>
      <c r="B68" s="28" t="s">
        <v>148</v>
      </c>
      <c r="C68" s="136" t="s">
        <v>149</v>
      </c>
      <c r="D68" s="100"/>
      <c r="E68" s="23"/>
      <c r="F68" s="1"/>
      <c r="G68" s="1"/>
      <c r="H68" s="1"/>
      <c r="I68" s="1"/>
      <c r="J68" s="1"/>
    </row>
    <row r="69" spans="1:10" ht="17">
      <c r="A69" s="28" t="s">
        <v>150</v>
      </c>
      <c r="B69" s="28" t="s">
        <v>151</v>
      </c>
      <c r="C69" s="136" t="s">
        <v>152</v>
      </c>
      <c r="D69" s="100"/>
      <c r="E69" s="23"/>
      <c r="F69" s="1"/>
      <c r="G69" s="1"/>
      <c r="H69" s="1"/>
      <c r="I69" s="1"/>
      <c r="J69" s="1"/>
    </row>
    <row r="70" spans="1:10" ht="16">
      <c r="A70" s="137"/>
      <c r="B70" s="82"/>
      <c r="C70" s="82"/>
      <c r="D70" s="82"/>
      <c r="E70" s="23"/>
      <c r="F70" s="1"/>
      <c r="G70" s="1"/>
      <c r="H70" s="1"/>
      <c r="I70" s="1"/>
      <c r="J70" s="1"/>
    </row>
    <row r="71" spans="1:10" ht="13">
      <c r="A71" s="135" t="s">
        <v>153</v>
      </c>
      <c r="B71" s="88"/>
      <c r="C71" s="88"/>
      <c r="D71" s="100"/>
      <c r="E71" s="23"/>
      <c r="F71" s="1"/>
      <c r="G71" s="1"/>
      <c r="H71" s="1"/>
      <c r="I71" s="1"/>
      <c r="J71" s="1"/>
    </row>
    <row r="72" spans="1:10" ht="13">
      <c r="A72" s="136" t="s">
        <v>154</v>
      </c>
      <c r="B72" s="100"/>
      <c r="C72" s="136" t="s">
        <v>155</v>
      </c>
      <c r="D72" s="100"/>
      <c r="E72" s="23"/>
      <c r="F72" s="1"/>
      <c r="G72" s="1"/>
      <c r="H72" s="1"/>
      <c r="I72" s="1"/>
      <c r="J72" s="1"/>
    </row>
    <row r="73" spans="1:10" ht="16">
      <c r="A73" s="26"/>
      <c r="B73" s="26"/>
      <c r="C73" s="26"/>
      <c r="D73" s="26"/>
      <c r="E73" s="23"/>
      <c r="F73" s="1"/>
      <c r="G73" s="1"/>
      <c r="H73" s="1"/>
      <c r="I73" s="1"/>
      <c r="J73" s="1"/>
    </row>
    <row r="74" spans="1:10" ht="13">
      <c r="A74" s="135" t="s">
        <v>156</v>
      </c>
      <c r="B74" s="88"/>
      <c r="C74" s="88"/>
      <c r="D74" s="100"/>
      <c r="E74" s="23"/>
      <c r="F74" s="1"/>
      <c r="G74" s="1"/>
      <c r="H74" s="1"/>
      <c r="I74" s="1"/>
      <c r="J74" s="1"/>
    </row>
    <row r="75" spans="1:10" ht="13">
      <c r="A75" s="135" t="s">
        <v>157</v>
      </c>
      <c r="B75" s="100"/>
      <c r="C75" s="135" t="s">
        <v>158</v>
      </c>
      <c r="D75" s="100"/>
      <c r="E75" s="23"/>
      <c r="F75" s="1"/>
      <c r="G75" s="1"/>
      <c r="H75" s="1"/>
      <c r="I75" s="1"/>
      <c r="J75" s="1"/>
    </row>
    <row r="76" spans="1:10" ht="13">
      <c r="A76" s="136" t="s">
        <v>159</v>
      </c>
      <c r="B76" s="100"/>
      <c r="C76" s="136" t="s">
        <v>160</v>
      </c>
      <c r="D76" s="100"/>
      <c r="E76" s="23"/>
      <c r="F76" s="1"/>
      <c r="G76" s="1"/>
      <c r="H76" s="1"/>
      <c r="I76" s="1"/>
      <c r="J76" s="1"/>
    </row>
    <row r="77" spans="1:10" ht="13">
      <c r="A77" s="136" t="s">
        <v>161</v>
      </c>
      <c r="B77" s="100"/>
      <c r="C77" s="136" t="s">
        <v>160</v>
      </c>
      <c r="D77" s="100"/>
      <c r="E77" s="23"/>
      <c r="F77" s="1"/>
      <c r="G77" s="1"/>
      <c r="H77" s="1"/>
      <c r="I77" s="1"/>
      <c r="J77" s="1"/>
    </row>
    <row r="78" spans="1:10" ht="13">
      <c r="A78" s="136" t="s">
        <v>162</v>
      </c>
      <c r="B78" s="100"/>
      <c r="C78" s="136" t="s">
        <v>160</v>
      </c>
      <c r="D78" s="100"/>
      <c r="E78" s="23"/>
      <c r="F78" s="1"/>
      <c r="G78" s="1"/>
      <c r="H78" s="1"/>
      <c r="I78" s="1"/>
      <c r="J78" s="1"/>
    </row>
    <row r="79" spans="1:10" ht="13">
      <c r="A79" s="136" t="s">
        <v>163</v>
      </c>
      <c r="B79" s="100"/>
      <c r="C79" s="136" t="s">
        <v>164</v>
      </c>
      <c r="D79" s="88"/>
      <c r="E79" s="23"/>
      <c r="F79" s="1"/>
      <c r="G79" s="1"/>
      <c r="H79" s="1"/>
      <c r="I79" s="1"/>
      <c r="J79" s="1"/>
    </row>
    <row r="80" spans="1:10" ht="16">
      <c r="A80" s="139"/>
      <c r="B80" s="79"/>
      <c r="C80" s="79"/>
      <c r="D80" s="79"/>
      <c r="E80" s="23"/>
      <c r="F80" s="1"/>
      <c r="G80" s="1"/>
      <c r="H80" s="1"/>
      <c r="I80" s="1"/>
      <c r="J80" s="1"/>
    </row>
    <row r="81" spans="1:10" ht="16">
      <c r="A81" s="137"/>
      <c r="B81" s="82"/>
      <c r="C81" s="82"/>
      <c r="D81" s="82"/>
      <c r="E81" s="1"/>
      <c r="F81" s="1"/>
      <c r="G81" s="1"/>
      <c r="H81" s="1"/>
      <c r="I81" s="1"/>
      <c r="J81" s="1"/>
    </row>
    <row r="82" spans="1:10" ht="13">
      <c r="A82" s="140" t="s">
        <v>165</v>
      </c>
      <c r="B82" s="141"/>
      <c r="C82" s="141"/>
      <c r="D82" s="142"/>
      <c r="E82" s="1"/>
      <c r="F82" s="1"/>
      <c r="G82" s="1"/>
      <c r="H82" s="1"/>
      <c r="I82" s="1"/>
      <c r="J82" s="1"/>
    </row>
    <row r="83" spans="1:10" ht="13">
      <c r="A83" s="143"/>
      <c r="B83" s="79"/>
      <c r="C83" s="79"/>
      <c r="D83" s="144"/>
      <c r="E83" s="1"/>
      <c r="F83" s="1"/>
      <c r="G83" s="1"/>
      <c r="H83" s="1"/>
      <c r="I83" s="1"/>
      <c r="J83" s="1"/>
    </row>
    <row r="84" spans="1:10" ht="17">
      <c r="A84" s="35" t="s">
        <v>166</v>
      </c>
      <c r="B84" s="136" t="s">
        <v>167</v>
      </c>
      <c r="C84" s="88"/>
      <c r="D84" s="100"/>
      <c r="E84" s="1"/>
      <c r="F84" s="1"/>
      <c r="G84" s="1"/>
      <c r="H84" s="1"/>
      <c r="I84" s="1"/>
      <c r="J84" s="1"/>
    </row>
    <row r="85" spans="1:10" ht="16">
      <c r="A85" s="137"/>
      <c r="B85" s="82"/>
      <c r="C85" s="82"/>
      <c r="D85" s="82"/>
      <c r="E85" s="1"/>
      <c r="F85" s="1"/>
      <c r="G85" s="1"/>
      <c r="H85" s="1"/>
      <c r="I85" s="1"/>
      <c r="J85" s="1"/>
    </row>
    <row r="86" spans="1:10" ht="34">
      <c r="A86" s="35" t="s">
        <v>168</v>
      </c>
      <c r="B86" s="136" t="s">
        <v>169</v>
      </c>
      <c r="C86" s="88"/>
      <c r="D86" s="100"/>
      <c r="E86" s="1"/>
      <c r="F86" s="1"/>
      <c r="G86" s="1"/>
      <c r="H86" s="1"/>
      <c r="I86" s="1"/>
      <c r="J86" s="1"/>
    </row>
    <row r="87" spans="1:10" ht="16">
      <c r="A87" s="137"/>
      <c r="B87" s="82"/>
      <c r="C87" s="82"/>
      <c r="D87" s="82"/>
      <c r="E87" s="1"/>
      <c r="F87" s="1"/>
      <c r="G87" s="1"/>
      <c r="H87" s="1"/>
      <c r="I87" s="1"/>
      <c r="J87" s="1"/>
    </row>
    <row r="88" spans="1:10" ht="51">
      <c r="A88" s="35" t="s">
        <v>170</v>
      </c>
      <c r="B88" s="136" t="s">
        <v>171</v>
      </c>
      <c r="C88" s="88"/>
      <c r="D88" s="100"/>
      <c r="E88" s="1"/>
      <c r="F88" s="1"/>
      <c r="G88" s="1"/>
      <c r="H88" s="1"/>
      <c r="I88" s="1"/>
      <c r="J88" s="1"/>
    </row>
    <row r="89" spans="1:10" ht="13">
      <c r="A89" s="1"/>
      <c r="B89" s="1"/>
      <c r="C89" s="1"/>
      <c r="D89" s="1"/>
      <c r="E89" s="1"/>
      <c r="F89" s="1"/>
      <c r="G89" s="1"/>
      <c r="H89" s="1"/>
      <c r="I89" s="1"/>
      <c r="J89" s="1"/>
    </row>
    <row r="90" spans="1:10" ht="13">
      <c r="A90" s="1"/>
      <c r="B90" s="1"/>
      <c r="C90" s="1"/>
      <c r="D90" s="1"/>
      <c r="E90" s="1"/>
      <c r="F90" s="1"/>
      <c r="G90" s="1"/>
      <c r="H90" s="1"/>
      <c r="I90" s="1"/>
      <c r="J90" s="1"/>
    </row>
    <row r="91" spans="1:10" ht="13">
      <c r="A91" s="1"/>
      <c r="B91" s="1"/>
      <c r="C91" s="1"/>
      <c r="D91" s="1"/>
      <c r="E91" s="1"/>
      <c r="F91" s="1"/>
      <c r="G91" s="1"/>
      <c r="H91" s="1"/>
      <c r="I91" s="1"/>
      <c r="J91" s="1"/>
    </row>
    <row r="92" spans="1:10" ht="13">
      <c r="A92" s="1"/>
      <c r="B92" s="1"/>
      <c r="C92" s="1"/>
      <c r="D92" s="1"/>
      <c r="E92" s="1"/>
      <c r="F92" s="1"/>
      <c r="G92" s="1"/>
      <c r="H92" s="1"/>
      <c r="I92" s="1"/>
      <c r="J92" s="1"/>
    </row>
    <row r="93" spans="1:10" ht="13">
      <c r="A93" s="1"/>
      <c r="B93" s="1"/>
      <c r="C93" s="1"/>
      <c r="D93" s="1"/>
      <c r="E93" s="1"/>
      <c r="F93" s="1"/>
      <c r="G93" s="1"/>
      <c r="H93" s="1"/>
      <c r="I93" s="1"/>
      <c r="J93" s="1"/>
    </row>
    <row r="94" spans="1:10" ht="13">
      <c r="A94" s="1"/>
      <c r="B94" s="1"/>
      <c r="C94" s="1"/>
      <c r="D94" s="1"/>
      <c r="E94" s="1"/>
      <c r="F94" s="1"/>
      <c r="G94" s="1"/>
      <c r="H94" s="1"/>
      <c r="I94" s="1"/>
      <c r="J94" s="1"/>
    </row>
    <row r="95" spans="1:10" ht="13">
      <c r="A95" s="1"/>
      <c r="B95" s="1"/>
      <c r="C95" s="1"/>
      <c r="D95" s="1"/>
      <c r="E95" s="1"/>
      <c r="F95" s="1"/>
      <c r="G95" s="1"/>
      <c r="H95" s="1"/>
      <c r="I95" s="1"/>
      <c r="J95" s="1"/>
    </row>
    <row r="96" spans="1:10" ht="13">
      <c r="A96" s="1"/>
      <c r="B96" s="1"/>
      <c r="C96" s="1"/>
      <c r="D96" s="1"/>
      <c r="E96" s="1"/>
      <c r="F96" s="1"/>
      <c r="G96" s="1"/>
      <c r="H96" s="1"/>
      <c r="I96" s="1"/>
      <c r="J96" s="1"/>
    </row>
    <row r="97" spans="1:10" ht="13">
      <c r="A97" s="1"/>
      <c r="B97" s="1"/>
      <c r="C97" s="1"/>
      <c r="D97" s="1"/>
      <c r="E97" s="1"/>
      <c r="F97" s="1"/>
      <c r="G97" s="1"/>
      <c r="H97" s="1"/>
      <c r="I97" s="1"/>
      <c r="J97" s="1"/>
    </row>
    <row r="98" spans="1:10" ht="13">
      <c r="A98" s="1"/>
      <c r="B98" s="1"/>
      <c r="C98" s="1"/>
      <c r="D98" s="1"/>
      <c r="E98" s="1"/>
      <c r="F98" s="1"/>
      <c r="G98" s="1"/>
      <c r="H98" s="1"/>
      <c r="I98" s="1"/>
      <c r="J98" s="1"/>
    </row>
    <row r="99" spans="1:10" ht="13">
      <c r="A99" s="1"/>
      <c r="B99" s="1"/>
      <c r="C99" s="1"/>
      <c r="D99" s="1"/>
      <c r="E99" s="1"/>
      <c r="F99" s="1"/>
      <c r="G99" s="1"/>
      <c r="H99" s="1"/>
      <c r="I99" s="1"/>
      <c r="J99" s="1"/>
    </row>
    <row r="100" spans="1:10" ht="13">
      <c r="A100" s="1"/>
      <c r="B100" s="1"/>
      <c r="C100" s="1"/>
      <c r="D100" s="1"/>
      <c r="E100" s="1"/>
      <c r="F100" s="1"/>
      <c r="G100" s="1"/>
      <c r="H100" s="1"/>
      <c r="I100" s="1"/>
      <c r="J100" s="1"/>
    </row>
    <row r="101" spans="1:10" ht="13">
      <c r="A101" s="1"/>
      <c r="B101" s="1"/>
      <c r="C101" s="1"/>
      <c r="D101" s="1"/>
      <c r="E101" s="1"/>
      <c r="F101" s="1"/>
      <c r="G101" s="1"/>
      <c r="H101" s="1"/>
      <c r="I101" s="1"/>
      <c r="J101" s="1"/>
    </row>
    <row r="102" spans="1:10" ht="13">
      <c r="A102" s="1"/>
      <c r="B102" s="1"/>
      <c r="C102" s="1"/>
      <c r="D102" s="1"/>
      <c r="E102" s="1"/>
      <c r="F102" s="1"/>
      <c r="G102" s="1"/>
      <c r="H102" s="1"/>
      <c r="I102" s="1"/>
      <c r="J102" s="1"/>
    </row>
    <row r="103" spans="1:10" ht="13">
      <c r="A103" s="1"/>
      <c r="B103" s="1"/>
      <c r="C103" s="1"/>
      <c r="D103" s="1"/>
      <c r="E103" s="1"/>
      <c r="F103" s="1"/>
      <c r="G103" s="1"/>
      <c r="H103" s="1"/>
      <c r="I103" s="1"/>
      <c r="J103" s="1"/>
    </row>
    <row r="104" spans="1:10" ht="13">
      <c r="A104" s="1"/>
      <c r="B104" s="1"/>
      <c r="C104" s="1"/>
      <c r="D104" s="1"/>
      <c r="E104" s="1"/>
      <c r="F104" s="1"/>
      <c r="G104" s="1"/>
      <c r="H104" s="1"/>
      <c r="I104" s="1"/>
      <c r="J104" s="1"/>
    </row>
    <row r="105" spans="1:10" ht="13">
      <c r="A105" s="1"/>
      <c r="B105" s="1"/>
      <c r="C105" s="1"/>
      <c r="D105" s="1"/>
      <c r="E105" s="1"/>
      <c r="F105" s="1"/>
      <c r="G105" s="1"/>
      <c r="H105" s="1"/>
      <c r="I105" s="1"/>
      <c r="J105" s="1"/>
    </row>
    <row r="106" spans="1:10" ht="13">
      <c r="A106" s="1"/>
      <c r="B106" s="1"/>
      <c r="C106" s="1"/>
      <c r="D106" s="1"/>
      <c r="E106" s="1"/>
      <c r="F106" s="1"/>
      <c r="G106" s="1"/>
      <c r="H106" s="1"/>
      <c r="I106" s="1"/>
      <c r="J106" s="1"/>
    </row>
    <row r="107" spans="1:10" ht="13">
      <c r="A107" s="1"/>
      <c r="B107" s="1"/>
      <c r="C107" s="1"/>
      <c r="D107" s="1"/>
      <c r="E107" s="1"/>
      <c r="F107" s="1"/>
      <c r="G107" s="1"/>
      <c r="H107" s="1"/>
      <c r="I107" s="1"/>
      <c r="J107" s="1"/>
    </row>
    <row r="108" spans="1:10" ht="13">
      <c r="A108" s="1"/>
      <c r="B108" s="1"/>
      <c r="C108" s="1"/>
      <c r="D108" s="1"/>
      <c r="E108" s="1"/>
      <c r="F108" s="1"/>
      <c r="G108" s="1"/>
      <c r="H108" s="1"/>
      <c r="I108" s="1"/>
      <c r="J108" s="1"/>
    </row>
    <row r="109" spans="1:10" ht="13">
      <c r="A109" s="1"/>
      <c r="B109" s="1"/>
      <c r="C109" s="1"/>
      <c r="D109" s="1"/>
      <c r="E109" s="1"/>
      <c r="F109" s="1"/>
      <c r="G109" s="1"/>
      <c r="H109" s="1"/>
      <c r="I109" s="1"/>
      <c r="J109" s="1"/>
    </row>
    <row r="110" spans="1:10" ht="13">
      <c r="A110" s="1"/>
      <c r="B110" s="1"/>
      <c r="C110" s="1"/>
      <c r="D110" s="1"/>
      <c r="E110" s="1"/>
      <c r="F110" s="1"/>
      <c r="G110" s="1"/>
      <c r="H110" s="1"/>
      <c r="I110" s="1"/>
      <c r="J110" s="1"/>
    </row>
    <row r="111" spans="1:10" ht="13">
      <c r="A111" s="1"/>
      <c r="B111" s="1"/>
      <c r="C111" s="1"/>
      <c r="D111" s="1"/>
      <c r="E111" s="1"/>
      <c r="F111" s="1"/>
      <c r="G111" s="1"/>
      <c r="H111" s="1"/>
      <c r="I111" s="1"/>
      <c r="J111" s="1"/>
    </row>
    <row r="112" spans="1:10" ht="13">
      <c r="A112" s="1"/>
      <c r="B112" s="1"/>
      <c r="C112" s="1"/>
      <c r="D112" s="1"/>
      <c r="E112" s="1"/>
      <c r="F112" s="1"/>
      <c r="G112" s="1"/>
      <c r="H112" s="1"/>
      <c r="I112" s="1"/>
      <c r="J112" s="1"/>
    </row>
    <row r="113" spans="1:10" ht="13">
      <c r="A113" s="1"/>
      <c r="B113" s="1"/>
      <c r="C113" s="1"/>
      <c r="D113" s="1"/>
      <c r="E113" s="1"/>
      <c r="F113" s="1"/>
      <c r="G113" s="1"/>
      <c r="H113" s="1"/>
      <c r="I113" s="1"/>
      <c r="J113" s="1"/>
    </row>
    <row r="114" spans="1:10" ht="13">
      <c r="A114" s="1"/>
      <c r="B114" s="1"/>
      <c r="C114" s="1"/>
      <c r="D114" s="1"/>
      <c r="E114" s="1"/>
      <c r="F114" s="1"/>
      <c r="G114" s="1"/>
      <c r="H114" s="1"/>
      <c r="I114" s="1"/>
      <c r="J114" s="1"/>
    </row>
    <row r="115" spans="1:10" ht="13">
      <c r="A115" s="1"/>
      <c r="B115" s="1"/>
      <c r="C115" s="1"/>
      <c r="D115" s="1"/>
      <c r="E115" s="1"/>
      <c r="F115" s="1"/>
      <c r="G115" s="1"/>
      <c r="H115" s="1"/>
      <c r="I115" s="1"/>
      <c r="J115" s="1"/>
    </row>
    <row r="116" spans="1:10" ht="13">
      <c r="A116" s="1"/>
      <c r="B116" s="1"/>
      <c r="C116" s="1"/>
      <c r="D116" s="1"/>
      <c r="E116" s="1"/>
      <c r="F116" s="1"/>
      <c r="G116" s="1"/>
      <c r="H116" s="1"/>
      <c r="I116" s="1"/>
      <c r="J116" s="1"/>
    </row>
    <row r="117" spans="1:10" ht="13">
      <c r="A117" s="1"/>
      <c r="B117" s="1"/>
      <c r="C117" s="1"/>
      <c r="D117" s="1"/>
      <c r="E117" s="1"/>
      <c r="F117" s="1"/>
      <c r="G117" s="1"/>
      <c r="H117" s="1"/>
      <c r="I117" s="1"/>
      <c r="J117" s="1"/>
    </row>
    <row r="118" spans="1:10" ht="13">
      <c r="A118" s="1"/>
      <c r="B118" s="1"/>
      <c r="C118" s="1"/>
      <c r="D118" s="1"/>
      <c r="E118" s="1"/>
      <c r="F118" s="1"/>
      <c r="G118" s="1"/>
      <c r="H118" s="1"/>
      <c r="I118" s="1"/>
      <c r="J118" s="1"/>
    </row>
    <row r="119" spans="1:10" ht="13">
      <c r="A119" s="1"/>
      <c r="B119" s="1"/>
      <c r="C119" s="1"/>
      <c r="D119" s="1"/>
      <c r="E119" s="1"/>
      <c r="F119" s="1"/>
      <c r="G119" s="1"/>
      <c r="H119" s="1"/>
      <c r="I119" s="1"/>
      <c r="J119" s="1"/>
    </row>
    <row r="120" spans="1:10" ht="13">
      <c r="A120" s="1"/>
      <c r="B120" s="1"/>
      <c r="C120" s="1"/>
      <c r="D120" s="1"/>
      <c r="E120" s="1"/>
      <c r="F120" s="1"/>
      <c r="G120" s="1"/>
      <c r="H120" s="1"/>
      <c r="I120" s="1"/>
      <c r="J120" s="1"/>
    </row>
    <row r="121" spans="1:10" ht="13">
      <c r="A121" s="1"/>
      <c r="B121" s="1"/>
      <c r="C121" s="1"/>
      <c r="D121" s="1"/>
      <c r="E121" s="1"/>
      <c r="F121" s="1"/>
      <c r="G121" s="1"/>
      <c r="H121" s="1"/>
      <c r="I121" s="1"/>
      <c r="J121" s="1"/>
    </row>
    <row r="122" spans="1:10" ht="13">
      <c r="A122" s="1"/>
      <c r="B122" s="1"/>
      <c r="C122" s="1"/>
      <c r="D122" s="1"/>
      <c r="E122" s="1"/>
      <c r="F122" s="1"/>
      <c r="G122" s="1"/>
      <c r="H122" s="1"/>
      <c r="I122" s="1"/>
      <c r="J122" s="1"/>
    </row>
    <row r="123" spans="1:10" ht="13">
      <c r="A123" s="1"/>
      <c r="B123" s="1"/>
      <c r="C123" s="1"/>
      <c r="D123" s="1"/>
      <c r="E123" s="1"/>
      <c r="F123" s="1"/>
      <c r="G123" s="1"/>
      <c r="H123" s="1"/>
      <c r="I123" s="1"/>
      <c r="J123" s="1"/>
    </row>
    <row r="124" spans="1:10" ht="13">
      <c r="A124" s="1"/>
      <c r="B124" s="1"/>
      <c r="C124" s="1"/>
      <c r="D124" s="1"/>
      <c r="E124" s="1"/>
      <c r="F124" s="1"/>
      <c r="G124" s="1"/>
      <c r="H124" s="1"/>
      <c r="I124" s="1"/>
      <c r="J124" s="1"/>
    </row>
    <row r="125" spans="1:10" ht="13">
      <c r="A125" s="1"/>
      <c r="B125" s="1"/>
      <c r="C125" s="1"/>
      <c r="D125" s="1"/>
      <c r="E125" s="1"/>
      <c r="F125" s="1"/>
      <c r="G125" s="1"/>
      <c r="H125" s="1"/>
      <c r="I125" s="1"/>
      <c r="J125" s="1"/>
    </row>
    <row r="126" spans="1:10" ht="13">
      <c r="A126" s="1"/>
      <c r="B126" s="1"/>
      <c r="C126" s="1"/>
      <c r="D126" s="1"/>
      <c r="E126" s="1"/>
      <c r="F126" s="1"/>
      <c r="G126" s="1"/>
      <c r="H126" s="1"/>
      <c r="I126" s="1"/>
      <c r="J126" s="1"/>
    </row>
    <row r="127" spans="1:10" ht="13">
      <c r="A127" s="1"/>
      <c r="B127" s="1"/>
      <c r="C127" s="1"/>
      <c r="D127" s="1"/>
      <c r="E127" s="1"/>
      <c r="F127" s="1"/>
      <c r="G127" s="1"/>
      <c r="H127" s="1"/>
      <c r="I127" s="1"/>
      <c r="J127" s="1"/>
    </row>
    <row r="128" spans="1:10" ht="13">
      <c r="A128" s="1"/>
      <c r="B128" s="1"/>
      <c r="C128" s="1"/>
      <c r="D128" s="1"/>
      <c r="E128" s="1"/>
      <c r="F128" s="1"/>
      <c r="G128" s="1"/>
      <c r="H128" s="1"/>
      <c r="I128" s="1"/>
      <c r="J128" s="1"/>
    </row>
    <row r="129" spans="1:10" ht="13">
      <c r="A129" s="1"/>
      <c r="B129" s="1"/>
      <c r="C129" s="1"/>
      <c r="D129" s="1"/>
      <c r="E129" s="1"/>
      <c r="F129" s="1"/>
      <c r="G129" s="1"/>
      <c r="H129" s="1"/>
      <c r="I129" s="1"/>
      <c r="J129" s="1"/>
    </row>
    <row r="130" spans="1:10" ht="13">
      <c r="A130" s="1"/>
      <c r="B130" s="1"/>
      <c r="C130" s="1"/>
      <c r="D130" s="1"/>
      <c r="E130" s="1"/>
      <c r="F130" s="1"/>
      <c r="G130" s="1"/>
      <c r="H130" s="1"/>
      <c r="I130" s="1"/>
      <c r="J130" s="1"/>
    </row>
    <row r="131" spans="1:10" ht="13">
      <c r="A131" s="1"/>
      <c r="B131" s="1"/>
      <c r="C131" s="1"/>
      <c r="D131" s="1"/>
      <c r="E131" s="1"/>
      <c r="F131" s="1"/>
      <c r="G131" s="1"/>
      <c r="H131" s="1"/>
      <c r="I131" s="1"/>
      <c r="J131" s="1"/>
    </row>
    <row r="132" spans="1:10" ht="13">
      <c r="A132" s="1"/>
      <c r="B132" s="1"/>
      <c r="C132" s="1"/>
      <c r="D132" s="1"/>
      <c r="E132" s="1"/>
      <c r="F132" s="1"/>
      <c r="G132" s="1"/>
      <c r="H132" s="1"/>
      <c r="I132" s="1"/>
      <c r="J132" s="1"/>
    </row>
    <row r="133" spans="1:10" ht="13">
      <c r="A133" s="1"/>
      <c r="B133" s="1"/>
      <c r="C133" s="1"/>
      <c r="D133" s="1"/>
      <c r="E133" s="1"/>
      <c r="F133" s="1"/>
      <c r="G133" s="1"/>
      <c r="H133" s="1"/>
      <c r="I133" s="1"/>
      <c r="J133" s="1"/>
    </row>
  </sheetData>
  <mergeCells count="75">
    <mergeCell ref="A27:D27"/>
    <mergeCell ref="A28:D28"/>
    <mergeCell ref="A29:B29"/>
    <mergeCell ref="C29:D29"/>
    <mergeCell ref="C26:D26"/>
    <mergeCell ref="A15:D15"/>
    <mergeCell ref="A17:D17"/>
    <mergeCell ref="A18:D18"/>
    <mergeCell ref="A21:D21"/>
    <mergeCell ref="A19:D19"/>
    <mergeCell ref="A12:B12"/>
    <mergeCell ref="A13:B13"/>
    <mergeCell ref="A14:B14"/>
    <mergeCell ref="C7:D7"/>
    <mergeCell ref="C8:D8"/>
    <mergeCell ref="A9:D9"/>
    <mergeCell ref="A10:D10"/>
    <mergeCell ref="A11:B11"/>
    <mergeCell ref="C11:D11"/>
    <mergeCell ref="C12:D12"/>
    <mergeCell ref="C13:D13"/>
    <mergeCell ref="C14:D14"/>
    <mergeCell ref="A6:B6"/>
    <mergeCell ref="A7:B7"/>
    <mergeCell ref="A8:B8"/>
    <mergeCell ref="A1:D1"/>
    <mergeCell ref="A2:D2"/>
    <mergeCell ref="A3:D3"/>
    <mergeCell ref="A4:D4"/>
    <mergeCell ref="A5:B5"/>
    <mergeCell ref="C5:D5"/>
    <mergeCell ref="C6:D6"/>
    <mergeCell ref="B86:D86"/>
    <mergeCell ref="A87:D87"/>
    <mergeCell ref="B88:D88"/>
    <mergeCell ref="C78:D78"/>
    <mergeCell ref="C79:D79"/>
    <mergeCell ref="A80:D80"/>
    <mergeCell ref="A81:D81"/>
    <mergeCell ref="A82:D83"/>
    <mergeCell ref="B84:D84"/>
    <mergeCell ref="A85:D85"/>
    <mergeCell ref="A78:B78"/>
    <mergeCell ref="A79:B79"/>
    <mergeCell ref="C72:D72"/>
    <mergeCell ref="A74:D74"/>
    <mergeCell ref="A75:B75"/>
    <mergeCell ref="C75:D75"/>
    <mergeCell ref="A76:B76"/>
    <mergeCell ref="C76:D76"/>
    <mergeCell ref="C77:D77"/>
    <mergeCell ref="A72:B72"/>
    <mergeCell ref="C67:D67"/>
    <mergeCell ref="C68:D68"/>
    <mergeCell ref="C69:D69"/>
    <mergeCell ref="A77:B77"/>
    <mergeCell ref="A41:B41"/>
    <mergeCell ref="A42:B42"/>
    <mergeCell ref="A40:B40"/>
    <mergeCell ref="A70:D70"/>
    <mergeCell ref="A71:D71"/>
    <mergeCell ref="A64:D64"/>
    <mergeCell ref="A65:D65"/>
    <mergeCell ref="A43:D43"/>
    <mergeCell ref="A61:D61"/>
    <mergeCell ref="A62:D62"/>
    <mergeCell ref="A63:D63"/>
    <mergeCell ref="A66:B66"/>
    <mergeCell ref="C66:D66"/>
    <mergeCell ref="A44:D59"/>
    <mergeCell ref="A36:D36"/>
    <mergeCell ref="A37:B37"/>
    <mergeCell ref="C37:D37"/>
    <mergeCell ref="A38:D38"/>
    <mergeCell ref="A39:D3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608"/>
  <sheetViews>
    <sheetView workbookViewId="0">
      <selection activeCell="J472" sqref="J472"/>
    </sheetView>
  </sheetViews>
  <sheetFormatPr baseColWidth="10" defaultColWidth="11.1640625" defaultRowHeight="15.75" customHeight="1"/>
  <cols>
    <col min="1" max="1" width="19.1640625" customWidth="1"/>
    <col min="2" max="2" width="18.33203125" customWidth="1"/>
    <col min="3" max="3" width="21.1640625" customWidth="1"/>
    <col min="4" max="4" width="27.5" customWidth="1"/>
    <col min="5" max="5" width="24" customWidth="1"/>
    <col min="6" max="6" width="16" customWidth="1"/>
    <col min="7" max="7" width="17.5" customWidth="1"/>
    <col min="8" max="8" width="25.83203125" customWidth="1"/>
  </cols>
  <sheetData>
    <row r="1" spans="1:8" ht="13">
      <c r="A1" s="177" t="s">
        <v>19</v>
      </c>
      <c r="B1" s="146"/>
      <c r="C1" s="146"/>
      <c r="D1" s="146"/>
      <c r="E1" s="146"/>
      <c r="F1" s="146"/>
      <c r="G1" s="146"/>
      <c r="H1" s="147"/>
    </row>
    <row r="2" spans="1:8" ht="13">
      <c r="A2" s="177" t="s">
        <v>172</v>
      </c>
      <c r="B2" s="117"/>
      <c r="C2" s="117"/>
      <c r="D2" s="117"/>
      <c r="E2" s="117"/>
      <c r="F2" s="117"/>
      <c r="G2" s="117"/>
      <c r="H2" s="118"/>
    </row>
    <row r="3" spans="1:8" ht="13">
      <c r="A3" s="178" t="s">
        <v>173</v>
      </c>
      <c r="B3" s="82"/>
      <c r="C3" s="82"/>
      <c r="D3" s="82"/>
      <c r="E3" s="82"/>
      <c r="F3" s="82"/>
      <c r="G3" s="82"/>
      <c r="H3" s="179"/>
    </row>
    <row r="4" spans="1:8" ht="16">
      <c r="A4" s="180"/>
      <c r="B4" s="82"/>
      <c r="C4" s="82"/>
      <c r="D4" s="82"/>
      <c r="E4" s="82"/>
      <c r="F4" s="82"/>
      <c r="G4" s="82"/>
      <c r="H4" s="181"/>
    </row>
    <row r="5" spans="1:8" ht="13">
      <c r="A5" s="182" t="s">
        <v>174</v>
      </c>
      <c r="B5" s="82"/>
      <c r="C5" s="82"/>
      <c r="D5" s="82"/>
      <c r="E5" s="82"/>
      <c r="F5" s="82"/>
      <c r="G5" s="82"/>
      <c r="H5" s="179"/>
    </row>
    <row r="6" spans="1:8" ht="13">
      <c r="A6" s="165" t="s">
        <v>175</v>
      </c>
      <c r="B6" s="82"/>
      <c r="C6" s="82"/>
      <c r="D6" s="82"/>
      <c r="E6" s="82"/>
      <c r="F6" s="82"/>
      <c r="G6" s="82"/>
      <c r="H6" s="181"/>
    </row>
    <row r="7" spans="1:8" ht="17">
      <c r="A7" s="36" t="s">
        <v>176</v>
      </c>
      <c r="B7" s="36"/>
      <c r="C7" s="36"/>
      <c r="D7" s="38"/>
      <c r="E7" s="38"/>
      <c r="F7" s="38"/>
      <c r="G7" s="38"/>
      <c r="H7" s="39"/>
    </row>
    <row r="8" spans="1:8" ht="17">
      <c r="A8" s="157" t="s">
        <v>177</v>
      </c>
      <c r="B8" s="118"/>
      <c r="C8" s="157" t="s">
        <v>178</v>
      </c>
      <c r="D8" s="118"/>
      <c r="E8" s="157" t="s">
        <v>179</v>
      </c>
      <c r="F8" s="118"/>
      <c r="G8" s="40" t="s">
        <v>180</v>
      </c>
      <c r="H8" s="40" t="s">
        <v>181</v>
      </c>
    </row>
    <row r="9" spans="1:8" ht="16">
      <c r="A9" s="153" t="s">
        <v>182</v>
      </c>
      <c r="B9" s="126"/>
      <c r="C9" s="170">
        <v>467.95</v>
      </c>
      <c r="D9" s="126"/>
      <c r="E9" s="170">
        <v>455.41</v>
      </c>
      <c r="F9" s="126"/>
      <c r="G9" s="41">
        <f t="shared" ref="G9:G18" si="0">E9-C9</f>
        <v>-12.539999999999964</v>
      </c>
      <c r="H9" s="42">
        <f t="shared" ref="H9:H10" si="1">(G9/C9)</f>
        <v>-2.6797734800726496E-2</v>
      </c>
    </row>
    <row r="10" spans="1:8" ht="16">
      <c r="A10" s="153" t="s">
        <v>183</v>
      </c>
      <c r="B10" s="118"/>
      <c r="C10" s="170">
        <v>60.93</v>
      </c>
      <c r="D10" s="118"/>
      <c r="E10" s="170">
        <v>71.180000000000007</v>
      </c>
      <c r="F10" s="118"/>
      <c r="G10" s="41">
        <f t="shared" si="0"/>
        <v>10.250000000000007</v>
      </c>
      <c r="H10" s="42">
        <f t="shared" si="1"/>
        <v>0.16822583292302654</v>
      </c>
    </row>
    <row r="11" spans="1:8" ht="17">
      <c r="A11" s="153" t="s">
        <v>184</v>
      </c>
      <c r="B11" s="126"/>
      <c r="C11" s="170">
        <v>0</v>
      </c>
      <c r="D11" s="126"/>
      <c r="E11" s="170">
        <v>64.47</v>
      </c>
      <c r="F11" s="126"/>
      <c r="G11" s="41">
        <f t="shared" si="0"/>
        <v>64.47</v>
      </c>
      <c r="H11" s="43" t="s">
        <v>185</v>
      </c>
    </row>
    <row r="12" spans="1:8" ht="16">
      <c r="A12" s="153" t="s">
        <v>186</v>
      </c>
      <c r="B12" s="118"/>
      <c r="C12" s="153">
        <v>6.24</v>
      </c>
      <c r="D12" s="118"/>
      <c r="E12" s="153">
        <v>1.43</v>
      </c>
      <c r="F12" s="118"/>
      <c r="G12" s="41">
        <f t="shared" si="0"/>
        <v>-4.8100000000000005</v>
      </c>
      <c r="H12" s="42">
        <f t="shared" ref="H12:H14" si="2">(G12/C12)</f>
        <v>-0.77083333333333337</v>
      </c>
    </row>
    <row r="13" spans="1:8" ht="16">
      <c r="A13" s="116" t="s">
        <v>187</v>
      </c>
      <c r="B13" s="126"/>
      <c r="C13" s="116">
        <v>0.53</v>
      </c>
      <c r="D13" s="126"/>
      <c r="E13" s="116">
        <v>1.1599999999999999</v>
      </c>
      <c r="F13" s="126"/>
      <c r="G13" s="41">
        <f t="shared" si="0"/>
        <v>0.62999999999999989</v>
      </c>
      <c r="H13" s="42">
        <f t="shared" si="2"/>
        <v>1.1886792452830186</v>
      </c>
    </row>
    <row r="14" spans="1:8" ht="16">
      <c r="A14" s="116" t="s">
        <v>188</v>
      </c>
      <c r="B14" s="118"/>
      <c r="C14" s="116">
        <v>24.67</v>
      </c>
      <c r="D14" s="118"/>
      <c r="E14" s="116">
        <v>0</v>
      </c>
      <c r="F14" s="118"/>
      <c r="G14" s="41">
        <f t="shared" si="0"/>
        <v>-24.67</v>
      </c>
      <c r="H14" s="42">
        <f t="shared" si="2"/>
        <v>-1</v>
      </c>
    </row>
    <row r="15" spans="1:8" ht="16">
      <c r="A15" s="116" t="s">
        <v>189</v>
      </c>
      <c r="B15" s="126"/>
      <c r="C15" s="116">
        <v>0</v>
      </c>
      <c r="D15" s="126"/>
      <c r="E15" s="116">
        <v>0</v>
      </c>
      <c r="F15" s="126"/>
      <c r="G15" s="41">
        <f t="shared" si="0"/>
        <v>0</v>
      </c>
      <c r="H15" s="42">
        <v>0</v>
      </c>
    </row>
    <row r="16" spans="1:8" ht="16">
      <c r="A16" s="175" t="s">
        <v>190</v>
      </c>
      <c r="B16" s="118"/>
      <c r="C16" s="176">
        <f>SUM(C9:C15)</f>
        <v>560.31999999999994</v>
      </c>
      <c r="D16" s="118"/>
      <c r="E16" s="176">
        <f>SUM(E9:E15)</f>
        <v>593.65</v>
      </c>
      <c r="F16" s="118"/>
      <c r="G16" s="41">
        <f t="shared" si="0"/>
        <v>33.330000000000041</v>
      </c>
      <c r="H16" s="42">
        <f t="shared" ref="H16:H18" si="3">(G16/C16)</f>
        <v>5.9483866362078891E-2</v>
      </c>
    </row>
    <row r="17" spans="1:8" ht="16">
      <c r="A17" s="153" t="s">
        <v>191</v>
      </c>
      <c r="B17" s="126"/>
      <c r="C17" s="170">
        <v>12027.38</v>
      </c>
      <c r="D17" s="126"/>
      <c r="E17" s="170">
        <v>7671.41</v>
      </c>
      <c r="F17" s="126"/>
      <c r="G17" s="41">
        <f t="shared" si="0"/>
        <v>-4355.9699999999993</v>
      </c>
      <c r="H17" s="42">
        <f t="shared" si="3"/>
        <v>-0.3621711461681596</v>
      </c>
    </row>
    <row r="18" spans="1:8" ht="16">
      <c r="A18" s="175" t="s">
        <v>192</v>
      </c>
      <c r="B18" s="118"/>
      <c r="C18" s="176">
        <f>SUM(C16:C17)</f>
        <v>12587.699999999999</v>
      </c>
      <c r="D18" s="118"/>
      <c r="E18" s="176">
        <f>SUM(E16:E17)</f>
        <v>8265.06</v>
      </c>
      <c r="F18" s="118"/>
      <c r="G18" s="41">
        <f t="shared" si="0"/>
        <v>-4322.6399999999994</v>
      </c>
      <c r="H18" s="42">
        <f t="shared" si="3"/>
        <v>-0.34340189232345858</v>
      </c>
    </row>
    <row r="19" spans="1:8" ht="16">
      <c r="A19" s="38"/>
      <c r="B19" s="38"/>
      <c r="C19" s="38"/>
      <c r="D19" s="38"/>
      <c r="E19" s="38"/>
      <c r="F19" s="38"/>
      <c r="G19" s="38"/>
      <c r="H19" s="39"/>
    </row>
    <row r="20" spans="1:8" ht="16">
      <c r="A20" s="36"/>
      <c r="B20" s="36"/>
      <c r="C20" s="36"/>
      <c r="D20" s="38"/>
      <c r="E20" s="38"/>
      <c r="F20" s="38"/>
      <c r="G20" s="38"/>
      <c r="H20" s="39"/>
    </row>
    <row r="21" spans="1:8" ht="16">
      <c r="A21" s="36"/>
      <c r="B21" s="36"/>
      <c r="C21" s="36"/>
      <c r="D21" s="38"/>
      <c r="E21" s="38"/>
      <c r="F21" s="38"/>
      <c r="G21" s="38"/>
      <c r="H21" s="39"/>
    </row>
    <row r="22" spans="1:8" ht="13">
      <c r="A22" s="123" t="s">
        <v>193</v>
      </c>
      <c r="B22" s="117"/>
      <c r="C22" s="117"/>
      <c r="D22" s="117"/>
      <c r="E22" s="117"/>
      <c r="F22" s="117"/>
      <c r="G22" s="117"/>
      <c r="H22" s="118"/>
    </row>
    <row r="23" spans="1:8" ht="13">
      <c r="A23" s="157" t="s">
        <v>193</v>
      </c>
      <c r="B23" s="126"/>
      <c r="C23" s="157" t="s">
        <v>194</v>
      </c>
      <c r="D23" s="125"/>
      <c r="E23" s="126"/>
      <c r="F23" s="157" t="s">
        <v>195</v>
      </c>
      <c r="G23" s="125"/>
      <c r="H23" s="126"/>
    </row>
    <row r="24" spans="1:8" ht="13">
      <c r="A24" s="153" t="s">
        <v>196</v>
      </c>
      <c r="B24" s="118"/>
      <c r="C24" s="153" t="s">
        <v>197</v>
      </c>
      <c r="D24" s="117"/>
      <c r="E24" s="118"/>
      <c r="F24" s="153" t="s">
        <v>198</v>
      </c>
      <c r="G24" s="117"/>
      <c r="H24" s="118"/>
    </row>
    <row r="25" spans="1:8" ht="13">
      <c r="A25" s="153" t="s">
        <v>196</v>
      </c>
      <c r="B25" s="126"/>
      <c r="C25" s="153" t="s">
        <v>199</v>
      </c>
      <c r="D25" s="125"/>
      <c r="E25" s="126"/>
      <c r="F25" s="153" t="s">
        <v>200</v>
      </c>
      <c r="G25" s="125"/>
      <c r="H25" s="126"/>
    </row>
    <row r="26" spans="1:8" ht="13">
      <c r="A26" s="153" t="s">
        <v>196</v>
      </c>
      <c r="B26" s="118"/>
      <c r="C26" s="153" t="s">
        <v>201</v>
      </c>
      <c r="D26" s="117"/>
      <c r="E26" s="118"/>
      <c r="F26" s="153" t="s">
        <v>202</v>
      </c>
      <c r="G26" s="117"/>
      <c r="H26" s="118"/>
    </row>
    <row r="27" spans="1:8" ht="13">
      <c r="A27" s="153" t="s">
        <v>203</v>
      </c>
      <c r="B27" s="126"/>
      <c r="C27" s="153" t="s">
        <v>204</v>
      </c>
      <c r="D27" s="125"/>
      <c r="E27" s="126"/>
      <c r="F27" s="153" t="s">
        <v>205</v>
      </c>
      <c r="G27" s="125"/>
      <c r="H27" s="126"/>
    </row>
    <row r="28" spans="1:8" ht="36" customHeight="1">
      <c r="A28" s="153" t="s">
        <v>203</v>
      </c>
      <c r="B28" s="118"/>
      <c r="C28" s="153" t="s">
        <v>206</v>
      </c>
      <c r="D28" s="117"/>
      <c r="E28" s="118"/>
      <c r="F28" s="153" t="s">
        <v>207</v>
      </c>
      <c r="G28" s="117"/>
      <c r="H28" s="118"/>
    </row>
    <row r="29" spans="1:8" ht="13">
      <c r="A29" s="153" t="s">
        <v>208</v>
      </c>
      <c r="B29" s="126"/>
      <c r="C29" s="153" t="s">
        <v>209</v>
      </c>
      <c r="D29" s="125"/>
      <c r="E29" s="126"/>
      <c r="F29" s="153" t="s">
        <v>210</v>
      </c>
      <c r="G29" s="125"/>
      <c r="H29" s="126"/>
    </row>
    <row r="30" spans="1:8" ht="13">
      <c r="A30" s="153" t="s">
        <v>211</v>
      </c>
      <c r="B30" s="118"/>
      <c r="C30" s="153" t="s">
        <v>212</v>
      </c>
      <c r="D30" s="117"/>
      <c r="E30" s="118"/>
      <c r="F30" s="153" t="s">
        <v>213</v>
      </c>
      <c r="G30" s="117"/>
      <c r="H30" s="118"/>
    </row>
    <row r="31" spans="1:8" ht="16">
      <c r="A31" s="183"/>
      <c r="B31" s="82"/>
      <c r="C31" s="82"/>
      <c r="D31" s="38"/>
      <c r="E31" s="38"/>
      <c r="F31" s="38"/>
      <c r="G31" s="38"/>
      <c r="H31" s="39"/>
    </row>
    <row r="32" spans="1:8" ht="13">
      <c r="A32" s="174" t="s">
        <v>214</v>
      </c>
      <c r="B32" s="82"/>
      <c r="C32" s="82"/>
      <c r="D32" s="82"/>
      <c r="E32" s="82"/>
      <c r="F32" s="82"/>
      <c r="G32" s="82"/>
      <c r="H32" s="181"/>
    </row>
    <row r="33" spans="1:8" ht="13">
      <c r="A33" s="82"/>
      <c r="B33" s="82"/>
      <c r="C33" s="82"/>
      <c r="D33" s="82"/>
      <c r="E33" s="82"/>
      <c r="F33" s="82"/>
      <c r="G33" s="82"/>
      <c r="H33" s="179"/>
    </row>
    <row r="34" spans="1:8" ht="16">
      <c r="A34" s="38"/>
      <c r="B34" s="38"/>
      <c r="C34" s="38"/>
      <c r="D34" s="38"/>
      <c r="E34" s="38"/>
      <c r="F34" s="38"/>
      <c r="G34" s="38"/>
      <c r="H34" s="39"/>
    </row>
    <row r="35" spans="1:8" ht="13">
      <c r="A35" s="186" t="s">
        <v>215</v>
      </c>
      <c r="B35" s="88"/>
      <c r="C35" s="88"/>
      <c r="D35" s="88"/>
      <c r="E35" s="88"/>
      <c r="F35" s="88"/>
      <c r="G35" s="88"/>
      <c r="H35" s="100"/>
    </row>
    <row r="36" spans="1:8" ht="13">
      <c r="A36" s="157" t="s">
        <v>216</v>
      </c>
      <c r="B36" s="100"/>
      <c r="C36" s="157" t="s">
        <v>217</v>
      </c>
      <c r="D36" s="100"/>
      <c r="E36" s="157" t="s">
        <v>218</v>
      </c>
      <c r="F36" s="100"/>
      <c r="G36" s="157" t="s">
        <v>219</v>
      </c>
      <c r="H36" s="100"/>
    </row>
    <row r="37" spans="1:8" ht="13">
      <c r="A37" s="153" t="s">
        <v>220</v>
      </c>
      <c r="B37" s="100"/>
      <c r="C37" s="170">
        <v>33587.21</v>
      </c>
      <c r="D37" s="100"/>
      <c r="E37" s="159">
        <f>C37/E66</f>
        <v>0.41033612484441606</v>
      </c>
      <c r="F37" s="100"/>
      <c r="G37" s="153" t="s">
        <v>221</v>
      </c>
      <c r="H37" s="100"/>
    </row>
    <row r="38" spans="1:8" ht="13">
      <c r="A38" s="153" t="s">
        <v>222</v>
      </c>
      <c r="B38" s="100"/>
      <c r="C38" s="170">
        <v>35908.379999999997</v>
      </c>
      <c r="D38" s="100"/>
      <c r="E38" s="159">
        <f>C38/E66</f>
        <v>0.43869394030170211</v>
      </c>
      <c r="F38" s="100"/>
      <c r="G38" s="153" t="s">
        <v>223</v>
      </c>
      <c r="H38" s="100"/>
    </row>
    <row r="39" spans="1:8" ht="13">
      <c r="A39" s="153" t="s">
        <v>224</v>
      </c>
      <c r="B39" s="100"/>
      <c r="C39" s="170">
        <v>6258.24</v>
      </c>
      <c r="D39" s="100"/>
      <c r="E39" s="159">
        <f>C39/E66</f>
        <v>7.6457137998253447E-2</v>
      </c>
      <c r="F39" s="100"/>
      <c r="G39" s="153" t="s">
        <v>225</v>
      </c>
      <c r="H39" s="100"/>
    </row>
    <row r="40" spans="1:8" ht="13">
      <c r="A40" s="153" t="s">
        <v>226</v>
      </c>
      <c r="B40" s="100"/>
      <c r="C40" s="170">
        <v>2213.0500000000002</v>
      </c>
      <c r="D40" s="100"/>
      <c r="E40" s="159">
        <v>2.7E-2</v>
      </c>
      <c r="F40" s="100"/>
      <c r="G40" s="153" t="s">
        <v>227</v>
      </c>
      <c r="H40" s="100"/>
    </row>
    <row r="41" spans="1:8" ht="13">
      <c r="A41" s="153" t="s">
        <v>228</v>
      </c>
      <c r="B41" s="100"/>
      <c r="C41" s="153">
        <v>317.26</v>
      </c>
      <c r="D41" s="100"/>
      <c r="E41" s="159">
        <f>C41/E66</f>
        <v>3.875976568703963E-3</v>
      </c>
      <c r="F41" s="100"/>
      <c r="G41" s="153" t="s">
        <v>229</v>
      </c>
      <c r="H41" s="100"/>
    </row>
    <row r="42" spans="1:8" ht="13">
      <c r="A42" s="153" t="s">
        <v>230</v>
      </c>
      <c r="B42" s="100"/>
      <c r="C42" s="170">
        <v>3568.78</v>
      </c>
      <c r="D42" s="100"/>
      <c r="E42" s="159">
        <f>C42/E66</f>
        <v>4.3599910669039052E-2</v>
      </c>
      <c r="F42" s="100"/>
      <c r="G42" s="153" t="s">
        <v>231</v>
      </c>
      <c r="H42" s="100"/>
    </row>
    <row r="43" spans="1:8" ht="16">
      <c r="A43" s="153" t="s">
        <v>232</v>
      </c>
      <c r="B43" s="100"/>
      <c r="C43" s="170">
        <f>SUM(C37:C42)</f>
        <v>81852.92</v>
      </c>
      <c r="D43" s="100"/>
      <c r="E43" s="159">
        <f>SUM(E37:E42)</f>
        <v>0.99996309038211473</v>
      </c>
      <c r="F43" s="100"/>
      <c r="G43" s="153"/>
      <c r="H43" s="100"/>
    </row>
    <row r="44" spans="1:8" ht="13">
      <c r="A44" s="174"/>
      <c r="B44" s="82"/>
      <c r="C44" s="82"/>
      <c r="D44" s="82"/>
      <c r="E44" s="82"/>
      <c r="F44" s="82"/>
      <c r="G44" s="82"/>
      <c r="H44" s="155"/>
    </row>
    <row r="45" spans="1:8" ht="13">
      <c r="A45" s="82"/>
      <c r="B45" s="82"/>
      <c r="C45" s="82"/>
      <c r="D45" s="82"/>
      <c r="E45" s="82"/>
      <c r="F45" s="82"/>
      <c r="G45" s="82"/>
      <c r="H45" s="155"/>
    </row>
    <row r="46" spans="1:8" ht="13">
      <c r="A46" s="82"/>
      <c r="B46" s="82"/>
      <c r="C46" s="82"/>
      <c r="D46" s="82"/>
      <c r="E46" s="82"/>
      <c r="F46" s="82"/>
      <c r="G46" s="82"/>
      <c r="H46" s="155"/>
    </row>
    <row r="47" spans="1:8" ht="13">
      <c r="A47" s="82"/>
      <c r="B47" s="82"/>
      <c r="C47" s="82"/>
      <c r="D47" s="82"/>
      <c r="E47" s="82"/>
      <c r="F47" s="82"/>
      <c r="G47" s="82"/>
      <c r="H47" s="155"/>
    </row>
    <row r="48" spans="1:8" ht="13">
      <c r="A48" s="82"/>
      <c r="B48" s="82"/>
      <c r="C48" s="82"/>
      <c r="D48" s="82"/>
      <c r="E48" s="82"/>
      <c r="F48" s="82"/>
      <c r="G48" s="82"/>
      <c r="H48" s="155"/>
    </row>
    <row r="49" spans="1:8" ht="13">
      <c r="A49" s="82"/>
      <c r="B49" s="82"/>
      <c r="C49" s="82"/>
      <c r="D49" s="82"/>
      <c r="E49" s="82"/>
      <c r="F49" s="82"/>
      <c r="G49" s="82"/>
      <c r="H49" s="155"/>
    </row>
    <row r="50" spans="1:8" ht="13">
      <c r="A50" s="82"/>
      <c r="B50" s="82"/>
      <c r="C50" s="82"/>
      <c r="D50" s="82"/>
      <c r="E50" s="82"/>
      <c r="F50" s="82"/>
      <c r="G50" s="82"/>
      <c r="H50" s="155"/>
    </row>
    <row r="51" spans="1:8" ht="13">
      <c r="A51" s="82"/>
      <c r="B51" s="82"/>
      <c r="C51" s="82"/>
      <c r="D51" s="82"/>
      <c r="E51" s="82"/>
      <c r="F51" s="82"/>
      <c r="G51" s="82"/>
      <c r="H51" s="155"/>
    </row>
    <row r="52" spans="1:8" ht="13">
      <c r="A52" s="82"/>
      <c r="B52" s="82"/>
      <c r="C52" s="82"/>
      <c r="D52" s="82"/>
      <c r="E52" s="82"/>
      <c r="F52" s="82"/>
      <c r="G52" s="82"/>
      <c r="H52" s="155"/>
    </row>
    <row r="53" spans="1:8" ht="13">
      <c r="A53" s="82"/>
      <c r="B53" s="82"/>
      <c r="C53" s="82"/>
      <c r="D53" s="82"/>
      <c r="E53" s="82"/>
      <c r="F53" s="82"/>
      <c r="G53" s="82"/>
      <c r="H53" s="155"/>
    </row>
    <row r="54" spans="1:8" ht="13">
      <c r="A54" s="82"/>
      <c r="B54" s="82"/>
      <c r="C54" s="82"/>
      <c r="D54" s="82"/>
      <c r="E54" s="82"/>
      <c r="F54" s="82"/>
      <c r="G54" s="82"/>
      <c r="H54" s="155"/>
    </row>
    <row r="55" spans="1:8" ht="13">
      <c r="A55" s="82"/>
      <c r="B55" s="82"/>
      <c r="C55" s="82"/>
      <c r="D55" s="82"/>
      <c r="E55" s="82"/>
      <c r="F55" s="82"/>
      <c r="G55" s="82"/>
      <c r="H55" s="155"/>
    </row>
    <row r="56" spans="1:8" ht="13">
      <c r="A56" s="82"/>
      <c r="B56" s="82"/>
      <c r="C56" s="82"/>
      <c r="D56" s="82"/>
      <c r="E56" s="82"/>
      <c r="F56" s="82"/>
      <c r="G56" s="82"/>
      <c r="H56" s="155"/>
    </row>
    <row r="57" spans="1:8" ht="13">
      <c r="A57" s="82"/>
      <c r="B57" s="82"/>
      <c r="C57" s="82"/>
      <c r="D57" s="82"/>
      <c r="E57" s="82"/>
      <c r="F57" s="82"/>
      <c r="G57" s="82"/>
      <c r="H57" s="155"/>
    </row>
    <row r="58" spans="1:8" ht="13">
      <c r="A58" s="82"/>
      <c r="B58" s="82"/>
      <c r="C58" s="82"/>
      <c r="D58" s="82"/>
      <c r="E58" s="82"/>
      <c r="F58" s="82"/>
      <c r="G58" s="82"/>
      <c r="H58" s="155"/>
    </row>
    <row r="59" spans="1:8" ht="13">
      <c r="A59" s="82"/>
      <c r="B59" s="82"/>
      <c r="C59" s="82"/>
      <c r="D59" s="82"/>
      <c r="E59" s="82"/>
      <c r="F59" s="82"/>
      <c r="G59" s="82"/>
      <c r="H59" s="155"/>
    </row>
    <row r="60" spans="1:8" ht="13">
      <c r="A60" s="82"/>
      <c r="B60" s="82"/>
      <c r="C60" s="82"/>
      <c r="D60" s="82"/>
      <c r="E60" s="82"/>
      <c r="F60" s="82"/>
      <c r="G60" s="82"/>
      <c r="H60" s="155"/>
    </row>
    <row r="61" spans="1:8" ht="13">
      <c r="A61" s="82"/>
      <c r="B61" s="82"/>
      <c r="C61" s="82"/>
      <c r="D61" s="82"/>
      <c r="E61" s="82"/>
      <c r="F61" s="82"/>
      <c r="G61" s="82"/>
      <c r="H61" s="155"/>
    </row>
    <row r="62" spans="1:8" ht="13">
      <c r="A62" s="82"/>
      <c r="B62" s="82"/>
      <c r="C62" s="82"/>
      <c r="D62" s="82"/>
      <c r="E62" s="82"/>
      <c r="F62" s="82"/>
      <c r="G62" s="82"/>
      <c r="H62" s="155"/>
    </row>
    <row r="63" spans="1:8" ht="13">
      <c r="A63" s="82"/>
      <c r="B63" s="82"/>
      <c r="C63" s="82"/>
      <c r="D63" s="82"/>
      <c r="E63" s="82"/>
      <c r="F63" s="82"/>
      <c r="G63" s="82"/>
      <c r="H63" s="155"/>
    </row>
    <row r="64" spans="1:8" ht="13">
      <c r="A64" s="82"/>
      <c r="B64" s="82"/>
      <c r="C64" s="82"/>
      <c r="D64" s="82"/>
      <c r="E64" s="82"/>
      <c r="F64" s="82"/>
      <c r="G64" s="82"/>
      <c r="H64" s="155"/>
    </row>
    <row r="65" spans="1:8" ht="16">
      <c r="A65" s="174"/>
      <c r="B65" s="82"/>
      <c r="C65" s="82"/>
      <c r="D65" s="82"/>
      <c r="E65" s="82"/>
      <c r="F65" s="82"/>
      <c r="G65" s="82"/>
      <c r="H65" s="155"/>
    </row>
    <row r="66" spans="1:8" ht="13">
      <c r="A66" s="174" t="s">
        <v>233</v>
      </c>
      <c r="B66" s="82"/>
      <c r="C66" s="82"/>
      <c r="D66" s="82"/>
      <c r="E66" s="187">
        <f>SUM(C37:D42)</f>
        <v>81852.92</v>
      </c>
      <c r="F66" s="82"/>
      <c r="G66" s="82"/>
      <c r="H66" s="155"/>
    </row>
    <row r="67" spans="1:8" ht="16">
      <c r="A67" s="39"/>
      <c r="B67" s="39"/>
      <c r="C67" s="39"/>
      <c r="D67" s="39"/>
      <c r="E67" s="39"/>
      <c r="F67" s="39"/>
      <c r="G67" s="39"/>
      <c r="H67" s="39"/>
    </row>
    <row r="68" spans="1:8" ht="13">
      <c r="A68" s="186" t="s">
        <v>234</v>
      </c>
      <c r="B68" s="88"/>
      <c r="C68" s="88"/>
      <c r="D68" s="88"/>
      <c r="E68" s="88"/>
      <c r="F68" s="88"/>
      <c r="G68" s="88"/>
      <c r="H68" s="100"/>
    </row>
    <row r="69" spans="1:8" ht="34">
      <c r="A69" s="157" t="s">
        <v>235</v>
      </c>
      <c r="B69" s="100"/>
      <c r="C69" s="157" t="s">
        <v>236</v>
      </c>
      <c r="D69" s="100"/>
      <c r="E69" s="157" t="s">
        <v>237</v>
      </c>
      <c r="F69" s="100"/>
      <c r="G69" s="40" t="s">
        <v>238</v>
      </c>
      <c r="H69" s="40" t="s">
        <v>218</v>
      </c>
    </row>
    <row r="70" spans="1:8" ht="16">
      <c r="A70" s="153" t="s">
        <v>189</v>
      </c>
      <c r="B70" s="100"/>
      <c r="C70" s="153">
        <v>742.61</v>
      </c>
      <c r="D70" s="100"/>
      <c r="E70" s="153">
        <v>742.61</v>
      </c>
      <c r="F70" s="100"/>
      <c r="G70" s="43">
        <v>742.61</v>
      </c>
      <c r="H70" s="42">
        <f>G70/E66</f>
        <v>9.0724924657544295E-3</v>
      </c>
    </row>
    <row r="71" spans="1:8" ht="16">
      <c r="A71" s="153" t="s">
        <v>239</v>
      </c>
      <c r="B71" s="100"/>
      <c r="C71" s="170">
        <v>6132.3</v>
      </c>
      <c r="D71" s="100"/>
      <c r="E71" s="170">
        <v>6203.49</v>
      </c>
      <c r="F71" s="100"/>
      <c r="G71" s="41">
        <v>4483.01</v>
      </c>
      <c r="H71" s="42">
        <f>G71/E66</f>
        <v>5.4769090705621748E-2</v>
      </c>
    </row>
    <row r="72" spans="1:8" ht="16">
      <c r="A72" s="153" t="s">
        <v>240</v>
      </c>
      <c r="B72" s="100"/>
      <c r="C72" s="170">
        <v>3274.67</v>
      </c>
      <c r="D72" s="100"/>
      <c r="E72" s="170">
        <v>3339.14</v>
      </c>
      <c r="F72" s="100"/>
      <c r="G72" s="41">
        <v>2860.18</v>
      </c>
      <c r="H72" s="42">
        <f>G72/E66</f>
        <v>3.494291956841613E-2</v>
      </c>
    </row>
    <row r="73" spans="1:8" ht="16">
      <c r="A73" s="153" t="s">
        <v>241</v>
      </c>
      <c r="B73" s="100"/>
      <c r="C73" s="170">
        <v>28798.27</v>
      </c>
      <c r="D73" s="100"/>
      <c r="E73" s="170">
        <v>29253.68</v>
      </c>
      <c r="F73" s="100"/>
      <c r="G73" s="41">
        <v>19232.21</v>
      </c>
      <c r="H73" s="42">
        <f>G73/E66</f>
        <v>0.23496058540122941</v>
      </c>
    </row>
    <row r="74" spans="1:8" ht="16">
      <c r="A74" s="153" t="s">
        <v>188</v>
      </c>
      <c r="B74" s="100"/>
      <c r="C74" s="153">
        <v>551.77</v>
      </c>
      <c r="D74" s="100"/>
      <c r="E74" s="153">
        <v>551.77</v>
      </c>
      <c r="F74" s="100"/>
      <c r="G74" s="43">
        <v>273.37</v>
      </c>
      <c r="H74" s="42">
        <f>G74/E66</f>
        <v>3.3397708963834156E-3</v>
      </c>
    </row>
    <row r="75" spans="1:8" ht="16">
      <c r="A75" s="153" t="s">
        <v>186</v>
      </c>
      <c r="B75" s="100"/>
      <c r="C75" s="153">
        <v>109.8</v>
      </c>
      <c r="D75" s="100"/>
      <c r="E75" s="153">
        <v>111.23</v>
      </c>
      <c r="F75" s="100"/>
      <c r="G75" s="43">
        <v>31.05</v>
      </c>
      <c r="H75" s="42">
        <f>G75/E66</f>
        <v>3.7933894111535666E-4</v>
      </c>
    </row>
    <row r="76" spans="1:8" ht="16">
      <c r="A76" s="153" t="s">
        <v>187</v>
      </c>
      <c r="B76" s="100"/>
      <c r="C76" s="153">
        <v>97.71</v>
      </c>
      <c r="D76" s="100"/>
      <c r="E76" s="153">
        <v>98.86</v>
      </c>
      <c r="F76" s="100"/>
      <c r="G76" s="43">
        <v>24.62</v>
      </c>
      <c r="H76" s="42">
        <f>G76/E66</f>
        <v>3.0078340516135531E-4</v>
      </c>
    </row>
    <row r="77" spans="1:8" ht="16">
      <c r="A77" s="169" t="s">
        <v>242</v>
      </c>
      <c r="B77" s="100"/>
      <c r="C77" s="185">
        <f>SUM(C70:C76)</f>
        <v>39707.129999999997</v>
      </c>
      <c r="D77" s="100"/>
      <c r="E77" s="185">
        <f>SUM(E70:E76)</f>
        <v>40300.78</v>
      </c>
      <c r="F77" s="100"/>
      <c r="G77" s="44">
        <f t="shared" ref="G77:H77" si="4">SUM(G70:G76)</f>
        <v>27647.049999999996</v>
      </c>
      <c r="H77" s="45">
        <f t="shared" si="4"/>
        <v>0.33776498138368188</v>
      </c>
    </row>
    <row r="78" spans="1:8" ht="16">
      <c r="A78" s="153" t="s">
        <v>243</v>
      </c>
      <c r="B78" s="100"/>
      <c r="C78" s="170">
        <v>12429.31</v>
      </c>
      <c r="D78" s="100"/>
      <c r="E78" s="170">
        <v>20100.72</v>
      </c>
      <c r="F78" s="100"/>
      <c r="G78" s="41">
        <v>20100.72</v>
      </c>
      <c r="H78" s="42">
        <f>G78/E66</f>
        <v>0.24557120259118431</v>
      </c>
    </row>
    <row r="79" spans="1:8" ht="16">
      <c r="A79" s="169" t="s">
        <v>244</v>
      </c>
      <c r="B79" s="100"/>
      <c r="C79" s="185">
        <f>SUM(C77:D78)</f>
        <v>52136.439999999995</v>
      </c>
      <c r="D79" s="100"/>
      <c r="E79" s="185">
        <f>SUM(E77:F78)</f>
        <v>60401.5</v>
      </c>
      <c r="F79" s="100"/>
      <c r="G79" s="44">
        <f>SUM(G77:H78)</f>
        <v>47748.353336183973</v>
      </c>
      <c r="H79" s="45">
        <f>SUM(H77:H78)</f>
        <v>0.5833361839748662</v>
      </c>
    </row>
    <row r="80" spans="1:8" ht="13">
      <c r="A80" s="174"/>
      <c r="B80" s="82"/>
      <c r="C80" s="82"/>
      <c r="D80" s="82"/>
      <c r="E80" s="82"/>
      <c r="F80" s="82"/>
      <c r="G80" s="82"/>
      <c r="H80" s="155"/>
    </row>
    <row r="81" spans="1:8" ht="13">
      <c r="A81" s="82"/>
      <c r="B81" s="82"/>
      <c r="C81" s="82"/>
      <c r="D81" s="82"/>
      <c r="E81" s="82"/>
      <c r="F81" s="82"/>
      <c r="G81" s="82"/>
      <c r="H81" s="155"/>
    </row>
    <row r="82" spans="1:8" ht="13">
      <c r="A82" s="184" t="s">
        <v>245</v>
      </c>
      <c r="B82" s="88"/>
      <c r="C82" s="88"/>
      <c r="D82" s="88"/>
      <c r="E82" s="88"/>
      <c r="F82" s="88"/>
      <c r="G82" s="88"/>
      <c r="H82" s="100"/>
    </row>
    <row r="83" spans="1:8" ht="13">
      <c r="A83" s="157" t="s">
        <v>246</v>
      </c>
      <c r="B83" s="100"/>
      <c r="C83" s="157" t="s">
        <v>247</v>
      </c>
      <c r="D83" s="100"/>
      <c r="E83" s="157" t="s">
        <v>248</v>
      </c>
      <c r="F83" s="100"/>
      <c r="G83" s="157" t="s">
        <v>249</v>
      </c>
      <c r="H83" s="100"/>
    </row>
    <row r="84" spans="1:8" ht="13">
      <c r="A84" s="153" t="s">
        <v>250</v>
      </c>
      <c r="B84" s="100"/>
      <c r="C84" s="160">
        <f>C18</f>
        <v>12587.699999999999</v>
      </c>
      <c r="D84" s="100"/>
      <c r="E84" s="160">
        <v>27200</v>
      </c>
      <c r="F84" s="100"/>
      <c r="G84" s="153">
        <v>18.100000000000001</v>
      </c>
      <c r="H84" s="100"/>
    </row>
    <row r="85" spans="1:8" ht="13">
      <c r="A85" s="153" t="s">
        <v>251</v>
      </c>
      <c r="B85" s="100"/>
      <c r="C85" s="160">
        <f>E18</f>
        <v>8265.06</v>
      </c>
      <c r="D85" s="100"/>
      <c r="E85" s="160">
        <v>28350</v>
      </c>
      <c r="F85" s="100"/>
      <c r="G85" s="153">
        <v>16.2</v>
      </c>
      <c r="H85" s="100"/>
    </row>
    <row r="86" spans="1:8" ht="16">
      <c r="A86" s="38"/>
      <c r="B86" s="38"/>
      <c r="C86" s="38"/>
      <c r="D86" s="38"/>
      <c r="E86" s="38"/>
      <c r="F86" s="38"/>
      <c r="G86" s="38"/>
      <c r="H86" s="39"/>
    </row>
    <row r="87" spans="1:8" ht="13">
      <c r="A87" s="162" t="s">
        <v>252</v>
      </c>
      <c r="B87" s="82"/>
      <c r="C87" s="82"/>
      <c r="D87" s="82"/>
      <c r="E87" s="82"/>
      <c r="F87" s="82"/>
      <c r="G87" s="82"/>
      <c r="H87" s="155"/>
    </row>
    <row r="88" spans="1:8" ht="16">
      <c r="A88" s="46"/>
      <c r="B88" s="46"/>
      <c r="C88" s="46"/>
      <c r="D88" s="46"/>
      <c r="E88" s="46"/>
      <c r="F88" s="46"/>
      <c r="G88" s="46"/>
      <c r="H88" s="47"/>
    </row>
    <row r="89" spans="1:8" ht="13">
      <c r="A89" s="188" t="s">
        <v>253</v>
      </c>
      <c r="B89" s="144"/>
      <c r="C89" s="188" t="s">
        <v>254</v>
      </c>
      <c r="D89" s="79"/>
      <c r="E89" s="144"/>
      <c r="F89" s="188" t="s">
        <v>255</v>
      </c>
      <c r="G89" s="79"/>
      <c r="H89" s="144"/>
    </row>
    <row r="90" spans="1:8" ht="13">
      <c r="A90" s="175" t="s">
        <v>256</v>
      </c>
      <c r="B90" s="100"/>
      <c r="C90" s="176">
        <v>33602.230000000003</v>
      </c>
      <c r="D90" s="88"/>
      <c r="E90" s="100"/>
      <c r="F90" s="176">
        <v>38319.68</v>
      </c>
      <c r="G90" s="88"/>
      <c r="H90" s="100"/>
    </row>
    <row r="91" spans="1:8" ht="13">
      <c r="A91" s="175" t="s">
        <v>257</v>
      </c>
      <c r="B91" s="100"/>
      <c r="C91" s="176">
        <v>36597.230000000003</v>
      </c>
      <c r="D91" s="88"/>
      <c r="E91" s="100"/>
      <c r="F91" s="176">
        <v>41624.74</v>
      </c>
      <c r="G91" s="88"/>
      <c r="H91" s="100"/>
    </row>
    <row r="92" spans="1:8" ht="13">
      <c r="A92" s="175" t="s">
        <v>258</v>
      </c>
      <c r="B92" s="100"/>
      <c r="C92" s="176">
        <f>C90-C91</f>
        <v>-2995</v>
      </c>
      <c r="D92" s="88"/>
      <c r="E92" s="100"/>
      <c r="F92" s="176">
        <f>F90-F91</f>
        <v>-3305.0599999999977</v>
      </c>
      <c r="G92" s="88"/>
      <c r="H92" s="100"/>
    </row>
    <row r="93" spans="1:8" ht="13">
      <c r="A93" s="174" t="s">
        <v>259</v>
      </c>
      <c r="B93" s="82"/>
      <c r="C93" s="82"/>
      <c r="D93" s="82"/>
      <c r="E93" s="82"/>
      <c r="F93" s="82"/>
      <c r="G93" s="82"/>
      <c r="H93" s="155"/>
    </row>
    <row r="94" spans="1:8" ht="13">
      <c r="A94" s="82"/>
      <c r="B94" s="82"/>
      <c r="C94" s="82"/>
      <c r="D94" s="82"/>
      <c r="E94" s="82"/>
      <c r="F94" s="82"/>
      <c r="G94" s="82"/>
      <c r="H94" s="155"/>
    </row>
    <row r="95" spans="1:8" ht="13">
      <c r="A95" s="82"/>
      <c r="B95" s="82"/>
      <c r="C95" s="82"/>
      <c r="D95" s="82"/>
      <c r="E95" s="82"/>
      <c r="F95" s="82"/>
      <c r="G95" s="82"/>
      <c r="H95" s="155"/>
    </row>
    <row r="96" spans="1:8" ht="13">
      <c r="A96" s="174" t="s">
        <v>260</v>
      </c>
      <c r="B96" s="82"/>
      <c r="C96" s="82"/>
      <c r="D96" s="82"/>
      <c r="E96" s="82"/>
      <c r="F96" s="82"/>
      <c r="G96" s="82"/>
      <c r="H96" s="155"/>
    </row>
    <row r="97" spans="1:8" ht="13">
      <c r="A97" s="82"/>
      <c r="B97" s="82"/>
      <c r="C97" s="82"/>
      <c r="D97" s="82"/>
      <c r="E97" s="82"/>
      <c r="F97" s="82"/>
      <c r="G97" s="82"/>
      <c r="H97" s="155"/>
    </row>
    <row r="98" spans="1:8" ht="13">
      <c r="A98" s="82"/>
      <c r="B98" s="82"/>
      <c r="C98" s="82"/>
      <c r="D98" s="82"/>
      <c r="E98" s="82"/>
      <c r="F98" s="82"/>
      <c r="G98" s="82"/>
      <c r="H98" s="155"/>
    </row>
    <row r="99" spans="1:8" ht="16">
      <c r="A99" s="48"/>
      <c r="B99" s="48"/>
      <c r="C99" s="48"/>
      <c r="D99" s="48"/>
      <c r="E99" s="48"/>
      <c r="F99" s="48"/>
      <c r="G99" s="38"/>
      <c r="H99" s="39"/>
    </row>
    <row r="100" spans="1:8" ht="16">
      <c r="A100" s="48"/>
      <c r="B100" s="48"/>
      <c r="C100" s="48"/>
      <c r="D100" s="48"/>
      <c r="E100" s="48"/>
      <c r="F100" s="48"/>
      <c r="G100" s="38"/>
      <c r="H100" s="39"/>
    </row>
    <row r="101" spans="1:8" ht="16">
      <c r="A101" s="48"/>
      <c r="B101" s="48"/>
      <c r="C101" s="48"/>
      <c r="D101" s="48"/>
      <c r="E101" s="48"/>
      <c r="F101" s="48"/>
      <c r="G101" s="38"/>
      <c r="H101" s="39"/>
    </row>
    <row r="102" spans="1:8" ht="13">
      <c r="A102" s="184" t="s">
        <v>261</v>
      </c>
      <c r="B102" s="88"/>
      <c r="C102" s="88"/>
      <c r="D102" s="88"/>
      <c r="E102" s="88"/>
      <c r="F102" s="88"/>
      <c r="G102" s="88"/>
      <c r="H102" s="100"/>
    </row>
    <row r="103" spans="1:8" ht="34">
      <c r="A103" s="40" t="s">
        <v>262</v>
      </c>
      <c r="B103" s="157" t="s">
        <v>263</v>
      </c>
      <c r="C103" s="100"/>
      <c r="D103" s="157" t="s">
        <v>264</v>
      </c>
      <c r="E103" s="100"/>
      <c r="F103" s="40" t="s">
        <v>265</v>
      </c>
      <c r="G103" s="40" t="s">
        <v>266</v>
      </c>
      <c r="H103" s="40" t="s">
        <v>267</v>
      </c>
    </row>
    <row r="104" spans="1:8" ht="27" customHeight="1">
      <c r="A104" s="43" t="s">
        <v>268</v>
      </c>
      <c r="B104" s="170">
        <v>5035.79</v>
      </c>
      <c r="C104" s="100"/>
      <c r="D104" s="170">
        <v>14573.5</v>
      </c>
      <c r="E104" s="100"/>
      <c r="F104" s="41">
        <f t="shared" ref="F104:F109" si="5">B104-D104</f>
        <v>-9537.7099999999991</v>
      </c>
      <c r="G104" s="42">
        <f>B104/B110</f>
        <v>9.5743095125378125E-2</v>
      </c>
      <c r="H104" s="42">
        <f>D104/D110</f>
        <v>0.26343979505437815</v>
      </c>
    </row>
    <row r="105" spans="1:8" ht="34">
      <c r="A105" s="43" t="s">
        <v>269</v>
      </c>
      <c r="B105" s="170">
        <v>6176.14</v>
      </c>
      <c r="C105" s="100"/>
      <c r="D105" s="153">
        <v>699.67</v>
      </c>
      <c r="E105" s="100"/>
      <c r="F105" s="41">
        <f t="shared" si="5"/>
        <v>5476.47</v>
      </c>
      <c r="G105" s="42">
        <f>B105/B110</f>
        <v>0.11742403069382418</v>
      </c>
      <c r="H105" s="42">
        <f>D105/D110</f>
        <v>1.2647677044340533E-2</v>
      </c>
    </row>
    <row r="106" spans="1:8" ht="34">
      <c r="A106" s="43" t="s">
        <v>270</v>
      </c>
      <c r="B106" s="170">
        <v>26568.34</v>
      </c>
      <c r="C106" s="100"/>
      <c r="D106" s="170">
        <v>29086.39</v>
      </c>
      <c r="E106" s="100"/>
      <c r="F106" s="41">
        <f t="shared" si="5"/>
        <v>-2518.0499999999993</v>
      </c>
      <c r="G106" s="42">
        <f>B106/B110</f>
        <v>0.50513129100764498</v>
      </c>
      <c r="H106" s="42">
        <f>D106/D110</f>
        <v>0.52578396544904893</v>
      </c>
    </row>
    <row r="107" spans="1:8" ht="33.75" customHeight="1">
      <c r="A107" s="43" t="s">
        <v>271</v>
      </c>
      <c r="B107" s="170">
        <v>4638.92</v>
      </c>
      <c r="C107" s="100"/>
      <c r="D107" s="170">
        <v>9790.85</v>
      </c>
      <c r="E107" s="100"/>
      <c r="F107" s="41">
        <f t="shared" si="5"/>
        <v>-5151.93</v>
      </c>
      <c r="G107" s="42">
        <f>B107/B110</f>
        <v>8.819759339428751E-2</v>
      </c>
      <c r="H107" s="42">
        <f>D107/D110</f>
        <v>0.17698559147824192</v>
      </c>
    </row>
    <row r="108" spans="1:8" ht="34">
      <c r="A108" s="43" t="s">
        <v>272</v>
      </c>
      <c r="B108" s="170">
        <v>4778.7299999999996</v>
      </c>
      <c r="C108" s="100"/>
      <c r="D108" s="170">
        <v>1169.6300000000001</v>
      </c>
      <c r="E108" s="100"/>
      <c r="F108" s="41">
        <f t="shared" si="5"/>
        <v>3609.0999999999995</v>
      </c>
      <c r="G108" s="42">
        <f>B108/B110</f>
        <v>9.0855734843688502E-2</v>
      </c>
      <c r="H108" s="42">
        <f>D108/D110</f>
        <v>2.1142970973990625E-2</v>
      </c>
    </row>
    <row r="109" spans="1:8" ht="45.75" customHeight="1">
      <c r="A109" s="43" t="s">
        <v>273</v>
      </c>
      <c r="B109" s="170">
        <v>5398.98</v>
      </c>
      <c r="C109" s="100"/>
      <c r="D109" s="153">
        <v>0</v>
      </c>
      <c r="E109" s="100"/>
      <c r="F109" s="41">
        <f t="shared" si="5"/>
        <v>5398.98</v>
      </c>
      <c r="G109" s="42">
        <f>B109/B110</f>
        <v>0.10264825493517679</v>
      </c>
      <c r="H109" s="43">
        <f>D109/D110</f>
        <v>0</v>
      </c>
    </row>
    <row r="110" spans="1:8" ht="37.5" customHeight="1">
      <c r="A110" s="49" t="s">
        <v>274</v>
      </c>
      <c r="B110" s="185">
        <f>SUM(B104:B109)</f>
        <v>52596.899999999994</v>
      </c>
      <c r="C110" s="100"/>
      <c r="D110" s="185">
        <f>SUM(D104:D109)</f>
        <v>55320.039999999994</v>
      </c>
      <c r="E110" s="100"/>
      <c r="F110" s="44">
        <f t="shared" ref="F110:H110" si="6">SUM(F104:F109)</f>
        <v>-2723.1399999999985</v>
      </c>
      <c r="G110" s="45">
        <f t="shared" si="6"/>
        <v>1</v>
      </c>
      <c r="H110" s="45">
        <f t="shared" si="6"/>
        <v>1</v>
      </c>
    </row>
    <row r="111" spans="1:8" ht="13">
      <c r="A111" s="174"/>
      <c r="B111" s="82"/>
      <c r="C111" s="82"/>
      <c r="D111" s="82"/>
      <c r="E111" s="82"/>
      <c r="F111" s="82"/>
      <c r="G111" s="82"/>
      <c r="H111" s="155"/>
    </row>
    <row r="112" spans="1:8" ht="13">
      <c r="A112" s="82"/>
      <c r="B112" s="82"/>
      <c r="C112" s="82"/>
      <c r="D112" s="82"/>
      <c r="E112" s="82"/>
      <c r="F112" s="82"/>
      <c r="G112" s="82"/>
      <c r="H112" s="155"/>
    </row>
    <row r="113" spans="1:8" ht="13">
      <c r="A113" s="82"/>
      <c r="B113" s="82"/>
      <c r="C113" s="82"/>
      <c r="D113" s="82"/>
      <c r="E113" s="82"/>
      <c r="F113" s="82"/>
      <c r="G113" s="82"/>
      <c r="H113" s="155"/>
    </row>
    <row r="114" spans="1:8" ht="13">
      <c r="A114" s="82"/>
      <c r="B114" s="82"/>
      <c r="C114" s="82"/>
      <c r="D114" s="82"/>
      <c r="E114" s="82"/>
      <c r="F114" s="82"/>
      <c r="G114" s="82"/>
      <c r="H114" s="155"/>
    </row>
    <row r="115" spans="1:8" ht="13">
      <c r="A115" s="82"/>
      <c r="B115" s="82"/>
      <c r="C115" s="82"/>
      <c r="D115" s="82"/>
      <c r="E115" s="82"/>
      <c r="F115" s="82"/>
      <c r="G115" s="82"/>
      <c r="H115" s="155"/>
    </row>
    <row r="116" spans="1:8" ht="13">
      <c r="A116" s="82"/>
      <c r="B116" s="82"/>
      <c r="C116" s="82"/>
      <c r="D116" s="82"/>
      <c r="E116" s="82"/>
      <c r="F116" s="82"/>
      <c r="G116" s="82"/>
      <c r="H116" s="155"/>
    </row>
    <row r="117" spans="1:8" ht="13">
      <c r="A117" s="82"/>
      <c r="B117" s="82"/>
      <c r="C117" s="82"/>
      <c r="D117" s="82"/>
      <c r="E117" s="82"/>
      <c r="F117" s="82"/>
      <c r="G117" s="82"/>
      <c r="H117" s="155"/>
    </row>
    <row r="118" spans="1:8" ht="13">
      <c r="A118" s="82"/>
      <c r="B118" s="82"/>
      <c r="C118" s="82"/>
      <c r="D118" s="82"/>
      <c r="E118" s="82"/>
      <c r="F118" s="82"/>
      <c r="G118" s="82"/>
      <c r="H118" s="155"/>
    </row>
    <row r="119" spans="1:8" ht="13">
      <c r="A119" s="82"/>
      <c r="B119" s="82"/>
      <c r="C119" s="82"/>
      <c r="D119" s="82"/>
      <c r="E119" s="82"/>
      <c r="F119" s="82"/>
      <c r="G119" s="82"/>
      <c r="H119" s="155"/>
    </row>
    <row r="120" spans="1:8" ht="13">
      <c r="A120" s="82"/>
      <c r="B120" s="82"/>
      <c r="C120" s="82"/>
      <c r="D120" s="82"/>
      <c r="E120" s="82"/>
      <c r="F120" s="82"/>
      <c r="G120" s="82"/>
      <c r="H120" s="155"/>
    </row>
    <row r="121" spans="1:8" ht="13">
      <c r="A121" s="82"/>
      <c r="B121" s="82"/>
      <c r="C121" s="82"/>
      <c r="D121" s="82"/>
      <c r="E121" s="82"/>
      <c r="F121" s="82"/>
      <c r="G121" s="82"/>
      <c r="H121" s="155"/>
    </row>
    <row r="122" spans="1:8" ht="13">
      <c r="A122" s="82"/>
      <c r="B122" s="82"/>
      <c r="C122" s="82"/>
      <c r="D122" s="82"/>
      <c r="E122" s="82"/>
      <c r="F122" s="82"/>
      <c r="G122" s="82"/>
      <c r="H122" s="155"/>
    </row>
    <row r="123" spans="1:8" ht="13">
      <c r="A123" s="82"/>
      <c r="B123" s="82"/>
      <c r="C123" s="82"/>
      <c r="D123" s="82"/>
      <c r="E123" s="82"/>
      <c r="F123" s="82"/>
      <c r="G123" s="82"/>
      <c r="H123" s="155"/>
    </row>
    <row r="124" spans="1:8" ht="13">
      <c r="A124" s="82"/>
      <c r="B124" s="82"/>
      <c r="C124" s="82"/>
      <c r="D124" s="82"/>
      <c r="E124" s="82"/>
      <c r="F124" s="82"/>
      <c r="G124" s="82"/>
      <c r="H124" s="155"/>
    </row>
    <row r="125" spans="1:8" ht="13">
      <c r="A125" s="82"/>
      <c r="B125" s="82"/>
      <c r="C125" s="82"/>
      <c r="D125" s="82"/>
      <c r="E125" s="82"/>
      <c r="F125" s="82"/>
      <c r="G125" s="82"/>
      <c r="H125" s="155"/>
    </row>
    <row r="126" spans="1:8" ht="13">
      <c r="A126" s="82"/>
      <c r="B126" s="82"/>
      <c r="C126" s="82"/>
      <c r="D126" s="82"/>
      <c r="E126" s="82"/>
      <c r="F126" s="82"/>
      <c r="G126" s="82"/>
      <c r="H126" s="155"/>
    </row>
    <row r="127" spans="1:8" ht="13">
      <c r="A127" s="174" t="s">
        <v>275</v>
      </c>
      <c r="B127" s="82"/>
      <c r="C127" s="82"/>
      <c r="D127" s="82"/>
      <c r="E127" s="82"/>
      <c r="F127" s="82"/>
      <c r="G127" s="82"/>
      <c r="H127" s="155"/>
    </row>
    <row r="128" spans="1:8" ht="13">
      <c r="A128" s="82"/>
      <c r="B128" s="82"/>
      <c r="C128" s="82"/>
      <c r="D128" s="82"/>
      <c r="E128" s="82"/>
      <c r="F128" s="82"/>
      <c r="G128" s="82"/>
      <c r="H128" s="155"/>
    </row>
    <row r="129" spans="1:8" ht="13">
      <c r="A129" s="82"/>
      <c r="B129" s="82"/>
      <c r="C129" s="82"/>
      <c r="D129" s="82"/>
      <c r="E129" s="82"/>
      <c r="F129" s="82"/>
      <c r="G129" s="82"/>
      <c r="H129" s="155"/>
    </row>
    <row r="130" spans="1:8" ht="16">
      <c r="A130" s="48"/>
      <c r="B130" s="48"/>
      <c r="C130" s="48"/>
      <c r="D130" s="48"/>
      <c r="E130" s="48"/>
      <c r="F130" s="38"/>
      <c r="G130" s="38"/>
      <c r="H130" s="39"/>
    </row>
    <row r="131" spans="1:8" ht="13">
      <c r="A131" s="184" t="s">
        <v>276</v>
      </c>
      <c r="B131" s="88"/>
      <c r="C131" s="88"/>
      <c r="D131" s="88"/>
      <c r="E131" s="88"/>
      <c r="F131" s="88"/>
      <c r="G131" s="88"/>
      <c r="H131" s="100"/>
    </row>
    <row r="132" spans="1:8" ht="17">
      <c r="A132" s="40" t="s">
        <v>277</v>
      </c>
      <c r="B132" s="157" t="s">
        <v>278</v>
      </c>
      <c r="C132" s="100"/>
      <c r="D132" s="40" t="s">
        <v>279</v>
      </c>
      <c r="E132" s="157" t="s">
        <v>264</v>
      </c>
      <c r="F132" s="100"/>
      <c r="G132" s="157" t="s">
        <v>180</v>
      </c>
      <c r="H132" s="100"/>
    </row>
    <row r="133" spans="1:8" ht="17">
      <c r="A133" s="43" t="s">
        <v>280</v>
      </c>
      <c r="B133" s="170">
        <v>23585.3</v>
      </c>
      <c r="C133" s="100"/>
      <c r="D133" s="42">
        <f>B133/B139</f>
        <v>0.70189686815428609</v>
      </c>
      <c r="E133" s="170">
        <v>27653.31</v>
      </c>
      <c r="F133" s="100"/>
      <c r="G133" s="170">
        <f t="shared" ref="G133:G138" si="7">B133-E133</f>
        <v>-4068.010000000002</v>
      </c>
      <c r="H133" s="100"/>
    </row>
    <row r="134" spans="1:8" ht="17">
      <c r="A134" s="43" t="s">
        <v>281</v>
      </c>
      <c r="B134" s="170">
        <v>2990</v>
      </c>
      <c r="C134" s="100"/>
      <c r="D134" s="42">
        <f>B134/B139</f>
        <v>8.8982189574918089E-2</v>
      </c>
      <c r="E134" s="170">
        <v>4063.85</v>
      </c>
      <c r="F134" s="100"/>
      <c r="G134" s="170">
        <f t="shared" si="7"/>
        <v>-1073.8499999999999</v>
      </c>
      <c r="H134" s="100"/>
    </row>
    <row r="135" spans="1:8" ht="34">
      <c r="A135" s="43" t="s">
        <v>282</v>
      </c>
      <c r="B135" s="153">
        <v>959.33</v>
      </c>
      <c r="C135" s="100"/>
      <c r="D135" s="42">
        <f>B135/B139</f>
        <v>2.8549593285921795E-2</v>
      </c>
      <c r="E135" s="153">
        <v>119.27</v>
      </c>
      <c r="F135" s="100"/>
      <c r="G135" s="170">
        <f t="shared" si="7"/>
        <v>840.06000000000006</v>
      </c>
      <c r="H135" s="100"/>
    </row>
    <row r="136" spans="1:8" ht="34">
      <c r="A136" s="43" t="s">
        <v>283</v>
      </c>
      <c r="B136" s="170">
        <v>6057.23</v>
      </c>
      <c r="C136" s="100"/>
      <c r="D136" s="42">
        <f>B136/B139</f>
        <v>0.18026273851467592</v>
      </c>
      <c r="E136" s="170">
        <v>6483.25</v>
      </c>
      <c r="F136" s="100"/>
      <c r="G136" s="170">
        <f t="shared" si="7"/>
        <v>-426.02000000000044</v>
      </c>
      <c r="H136" s="100"/>
    </row>
    <row r="137" spans="1:8" ht="34">
      <c r="A137" s="43" t="s">
        <v>284</v>
      </c>
      <c r="B137" s="153">
        <v>10</v>
      </c>
      <c r="C137" s="100"/>
      <c r="D137" s="42">
        <f>B137/B139</f>
        <v>2.9759929623718421E-4</v>
      </c>
      <c r="E137" s="153">
        <v>0</v>
      </c>
      <c r="F137" s="100"/>
      <c r="G137" s="170">
        <f t="shared" si="7"/>
        <v>10</v>
      </c>
      <c r="H137" s="100"/>
    </row>
    <row r="138" spans="1:8" ht="34">
      <c r="A138" s="43" t="s">
        <v>285</v>
      </c>
      <c r="B138" s="153">
        <v>0.37</v>
      </c>
      <c r="C138" s="100"/>
      <c r="D138" s="43">
        <f>ROUND(B138/B139,3)</f>
        <v>0</v>
      </c>
      <c r="E138" s="153">
        <v>0</v>
      </c>
      <c r="F138" s="100"/>
      <c r="G138" s="170">
        <f t="shared" si="7"/>
        <v>0.37</v>
      </c>
      <c r="H138" s="100"/>
    </row>
    <row r="139" spans="1:8" ht="34">
      <c r="A139" s="49" t="s">
        <v>286</v>
      </c>
      <c r="B139" s="185">
        <f>SUM(B133:B138)</f>
        <v>33602.230000000003</v>
      </c>
      <c r="C139" s="100"/>
      <c r="D139" s="45">
        <f t="shared" ref="D139:E139" si="8">SUM(D133:D138)</f>
        <v>0.99998898882603904</v>
      </c>
      <c r="E139" s="185">
        <f t="shared" si="8"/>
        <v>38319.68</v>
      </c>
      <c r="F139" s="100"/>
      <c r="G139" s="185">
        <f>SUM(G133:G138)</f>
        <v>-4717.4500000000025</v>
      </c>
      <c r="H139" s="100"/>
    </row>
    <row r="140" spans="1:8" ht="13">
      <c r="A140" s="174"/>
      <c r="B140" s="82"/>
      <c r="C140" s="82"/>
      <c r="D140" s="82"/>
      <c r="E140" s="82"/>
      <c r="F140" s="82"/>
      <c r="G140" s="82"/>
      <c r="H140" s="155"/>
    </row>
    <row r="141" spans="1:8" ht="13">
      <c r="A141" s="82"/>
      <c r="B141" s="82"/>
      <c r="C141" s="82"/>
      <c r="D141" s="82"/>
      <c r="E141" s="82"/>
      <c r="F141" s="82"/>
      <c r="G141" s="82"/>
      <c r="H141" s="155"/>
    </row>
    <row r="142" spans="1:8" ht="13">
      <c r="A142" s="82"/>
      <c r="B142" s="82"/>
      <c r="C142" s="82"/>
      <c r="D142" s="82"/>
      <c r="E142" s="82"/>
      <c r="F142" s="82"/>
      <c r="G142" s="82"/>
      <c r="H142" s="155"/>
    </row>
    <row r="143" spans="1:8" ht="13">
      <c r="A143" s="82"/>
      <c r="B143" s="82"/>
      <c r="C143" s="82"/>
      <c r="D143" s="82"/>
      <c r="E143" s="82"/>
      <c r="F143" s="82"/>
      <c r="G143" s="82"/>
      <c r="H143" s="155"/>
    </row>
    <row r="144" spans="1:8" ht="13">
      <c r="A144" s="82"/>
      <c r="B144" s="82"/>
      <c r="C144" s="82"/>
      <c r="D144" s="82"/>
      <c r="E144" s="82"/>
      <c r="F144" s="82"/>
      <c r="G144" s="82"/>
      <c r="H144" s="155"/>
    </row>
    <row r="145" spans="1:8" ht="13">
      <c r="A145" s="82"/>
      <c r="B145" s="82"/>
      <c r="C145" s="82"/>
      <c r="D145" s="82"/>
      <c r="E145" s="82"/>
      <c r="F145" s="82"/>
      <c r="G145" s="82"/>
      <c r="H145" s="155"/>
    </row>
    <row r="146" spans="1:8" ht="13">
      <c r="A146" s="82"/>
      <c r="B146" s="82"/>
      <c r="C146" s="82"/>
      <c r="D146" s="82"/>
      <c r="E146" s="82"/>
      <c r="F146" s="82"/>
      <c r="G146" s="82"/>
      <c r="H146" s="155"/>
    </row>
    <row r="147" spans="1:8" ht="13">
      <c r="A147" s="82"/>
      <c r="B147" s="82"/>
      <c r="C147" s="82"/>
      <c r="D147" s="82"/>
      <c r="E147" s="82"/>
      <c r="F147" s="82"/>
      <c r="G147" s="82"/>
      <c r="H147" s="155"/>
    </row>
    <row r="148" spans="1:8" ht="13">
      <c r="A148" s="82"/>
      <c r="B148" s="82"/>
      <c r="C148" s="82"/>
      <c r="D148" s="82"/>
      <c r="E148" s="82"/>
      <c r="F148" s="82"/>
      <c r="G148" s="82"/>
      <c r="H148" s="155"/>
    </row>
    <row r="149" spans="1:8" ht="13">
      <c r="A149" s="82"/>
      <c r="B149" s="82"/>
      <c r="C149" s="82"/>
      <c r="D149" s="82"/>
      <c r="E149" s="82"/>
      <c r="F149" s="82"/>
      <c r="G149" s="82"/>
      <c r="H149" s="155"/>
    </row>
    <row r="150" spans="1:8" ht="13">
      <c r="A150" s="82"/>
      <c r="B150" s="82"/>
      <c r="C150" s="82"/>
      <c r="D150" s="82"/>
      <c r="E150" s="82"/>
      <c r="F150" s="82"/>
      <c r="G150" s="82"/>
      <c r="H150" s="155"/>
    </row>
    <row r="151" spans="1:8" ht="13">
      <c r="A151" s="82"/>
      <c r="B151" s="82"/>
      <c r="C151" s="82"/>
      <c r="D151" s="82"/>
      <c r="E151" s="82"/>
      <c r="F151" s="82"/>
      <c r="G151" s="82"/>
      <c r="H151" s="155"/>
    </row>
    <row r="152" spans="1:8" ht="13">
      <c r="A152" s="82"/>
      <c r="B152" s="82"/>
      <c r="C152" s="82"/>
      <c r="D152" s="82"/>
      <c r="E152" s="82"/>
      <c r="F152" s="82"/>
      <c r="G152" s="82"/>
      <c r="H152" s="155"/>
    </row>
    <row r="153" spans="1:8" ht="13">
      <c r="A153" s="82"/>
      <c r="B153" s="82"/>
      <c r="C153" s="82"/>
      <c r="D153" s="82"/>
      <c r="E153" s="82"/>
      <c r="F153" s="82"/>
      <c r="G153" s="82"/>
      <c r="H153" s="155"/>
    </row>
    <row r="154" spans="1:8" ht="13">
      <c r="A154" s="82"/>
      <c r="B154" s="82"/>
      <c r="C154" s="82"/>
      <c r="D154" s="82"/>
      <c r="E154" s="82"/>
      <c r="F154" s="82"/>
      <c r="G154" s="82"/>
      <c r="H154" s="155"/>
    </row>
    <row r="155" spans="1:8" ht="13">
      <c r="A155" s="82"/>
      <c r="B155" s="82"/>
      <c r="C155" s="82"/>
      <c r="D155" s="82"/>
      <c r="E155" s="82"/>
      <c r="F155" s="82"/>
      <c r="G155" s="82"/>
      <c r="H155" s="155"/>
    </row>
    <row r="156" spans="1:8" ht="13">
      <c r="A156" s="82"/>
      <c r="B156" s="82"/>
      <c r="C156" s="82"/>
      <c r="D156" s="82"/>
      <c r="E156" s="82"/>
      <c r="F156" s="82"/>
      <c r="G156" s="82"/>
      <c r="H156" s="155"/>
    </row>
    <row r="157" spans="1:8" ht="13">
      <c r="A157" s="82"/>
      <c r="B157" s="82"/>
      <c r="C157" s="82"/>
      <c r="D157" s="82"/>
      <c r="E157" s="82"/>
      <c r="F157" s="82"/>
      <c r="G157" s="82"/>
      <c r="H157" s="155"/>
    </row>
    <row r="158" spans="1:8" ht="13">
      <c r="A158" s="82"/>
      <c r="B158" s="82"/>
      <c r="C158" s="82"/>
      <c r="D158" s="82"/>
      <c r="E158" s="82"/>
      <c r="F158" s="82"/>
      <c r="G158" s="82"/>
      <c r="H158" s="155"/>
    </row>
    <row r="159" spans="1:8" ht="13">
      <c r="A159" s="174" t="s">
        <v>287</v>
      </c>
      <c r="B159" s="82"/>
      <c r="C159" s="82"/>
      <c r="D159" s="82"/>
      <c r="E159" s="82"/>
      <c r="F159" s="82"/>
      <c r="G159" s="82"/>
      <c r="H159" s="155"/>
    </row>
    <row r="160" spans="1:8" ht="13">
      <c r="A160" s="82"/>
      <c r="B160" s="82"/>
      <c r="C160" s="82"/>
      <c r="D160" s="82"/>
      <c r="E160" s="82"/>
      <c r="F160" s="82"/>
      <c r="G160" s="82"/>
      <c r="H160" s="155"/>
    </row>
    <row r="161" spans="1:8" ht="13">
      <c r="A161" s="82"/>
      <c r="B161" s="82"/>
      <c r="C161" s="82"/>
      <c r="D161" s="82"/>
      <c r="E161" s="82"/>
      <c r="F161" s="82"/>
      <c r="G161" s="82"/>
      <c r="H161" s="155"/>
    </row>
    <row r="162" spans="1:8" ht="16">
      <c r="A162" s="38"/>
      <c r="B162" s="38"/>
      <c r="C162" s="38"/>
      <c r="D162" s="38"/>
      <c r="E162" s="38"/>
      <c r="F162" s="38"/>
      <c r="G162" s="38"/>
      <c r="H162" s="39"/>
    </row>
    <row r="163" spans="1:8" ht="13">
      <c r="A163" s="184" t="s">
        <v>288</v>
      </c>
      <c r="B163" s="88"/>
      <c r="C163" s="88"/>
      <c r="D163" s="88"/>
      <c r="E163" s="88"/>
      <c r="F163" s="88"/>
      <c r="G163" s="88"/>
      <c r="H163" s="100"/>
    </row>
    <row r="164" spans="1:8" ht="17">
      <c r="A164" s="40" t="s">
        <v>277</v>
      </c>
      <c r="B164" s="157" t="s">
        <v>278</v>
      </c>
      <c r="C164" s="100"/>
      <c r="D164" s="40" t="s">
        <v>279</v>
      </c>
      <c r="E164" s="157" t="s">
        <v>264</v>
      </c>
      <c r="F164" s="100"/>
      <c r="G164" s="157" t="s">
        <v>180</v>
      </c>
      <c r="H164" s="100"/>
    </row>
    <row r="165" spans="1:8" ht="17">
      <c r="A165" s="43" t="s">
        <v>289</v>
      </c>
      <c r="B165" s="170">
        <v>26568.34</v>
      </c>
      <c r="C165" s="100"/>
      <c r="D165" s="42">
        <f>B165/B170</f>
        <v>0.72596587228049769</v>
      </c>
      <c r="E165" s="170">
        <v>29086.39</v>
      </c>
      <c r="F165" s="100"/>
      <c r="G165" s="170">
        <f t="shared" ref="G165:G169" si="9">B165-E165</f>
        <v>-2518.0499999999993</v>
      </c>
      <c r="H165" s="100"/>
    </row>
    <row r="166" spans="1:8" ht="17">
      <c r="A166" s="43" t="s">
        <v>290</v>
      </c>
      <c r="B166" s="170">
        <v>4638.92</v>
      </c>
      <c r="C166" s="100"/>
      <c r="D166" s="42">
        <f>B166/B170</f>
        <v>0.1267560413725301</v>
      </c>
      <c r="E166" s="170">
        <v>9790.85</v>
      </c>
      <c r="F166" s="100"/>
      <c r="G166" s="170">
        <f t="shared" si="9"/>
        <v>-5151.93</v>
      </c>
      <c r="H166" s="100"/>
    </row>
    <row r="167" spans="1:8" ht="34">
      <c r="A167" s="43" t="s">
        <v>291</v>
      </c>
      <c r="B167" s="170">
        <v>4778.7299999999996</v>
      </c>
      <c r="C167" s="100"/>
      <c r="D167" s="42">
        <f>B167/B170</f>
        <v>0.13057627585475728</v>
      </c>
      <c r="E167" s="170">
        <v>1169.6300000000001</v>
      </c>
      <c r="F167" s="100"/>
      <c r="G167" s="170">
        <f t="shared" si="9"/>
        <v>3609.0999999999995</v>
      </c>
      <c r="H167" s="100"/>
    </row>
    <row r="168" spans="1:8" ht="34">
      <c r="A168" s="43" t="s">
        <v>292</v>
      </c>
      <c r="B168" s="153">
        <v>545.21</v>
      </c>
      <c r="C168" s="100"/>
      <c r="D168" s="42">
        <f>B168/B170</f>
        <v>1.4897575581539915E-2</v>
      </c>
      <c r="E168" s="153">
        <v>552.34</v>
      </c>
      <c r="F168" s="100"/>
      <c r="G168" s="170">
        <f t="shared" si="9"/>
        <v>-7.1299999999999955</v>
      </c>
      <c r="H168" s="100"/>
    </row>
    <row r="169" spans="1:8" ht="17">
      <c r="A169" s="43" t="s">
        <v>293</v>
      </c>
      <c r="B169" s="153">
        <v>66.03</v>
      </c>
      <c r="C169" s="100"/>
      <c r="D169" s="42">
        <f>B169/B170</f>
        <v>1.8042349106749335E-3</v>
      </c>
      <c r="E169" s="170">
        <v>1025.55</v>
      </c>
      <c r="F169" s="100"/>
      <c r="G169" s="170">
        <f t="shared" si="9"/>
        <v>-959.52</v>
      </c>
      <c r="H169" s="100"/>
    </row>
    <row r="170" spans="1:8" ht="34">
      <c r="A170" s="49" t="s">
        <v>294</v>
      </c>
      <c r="B170" s="185">
        <f>SUM(B165:B169)</f>
        <v>36597.230000000003</v>
      </c>
      <c r="C170" s="100"/>
      <c r="D170" s="45">
        <f t="shared" ref="D170:E170" si="10">SUM(D165:D169)</f>
        <v>0.99999999999999989</v>
      </c>
      <c r="E170" s="185">
        <f t="shared" si="10"/>
        <v>41624.759999999995</v>
      </c>
      <c r="F170" s="100"/>
      <c r="G170" s="185">
        <f>SUM(G165:G169)</f>
        <v>-5027.5300000000007</v>
      </c>
      <c r="H170" s="100"/>
    </row>
    <row r="171" spans="1:8" ht="13">
      <c r="A171" s="174"/>
      <c r="B171" s="82"/>
      <c r="C171" s="82"/>
      <c r="D171" s="82"/>
      <c r="E171" s="82"/>
      <c r="F171" s="82"/>
      <c r="G171" s="82"/>
      <c r="H171" s="155"/>
    </row>
    <row r="172" spans="1:8" ht="13">
      <c r="A172" s="82"/>
      <c r="B172" s="82"/>
      <c r="C172" s="82"/>
      <c r="D172" s="82"/>
      <c r="E172" s="82"/>
      <c r="F172" s="82"/>
      <c r="G172" s="82"/>
      <c r="H172" s="155"/>
    </row>
    <row r="173" spans="1:8" ht="13">
      <c r="A173" s="82"/>
      <c r="B173" s="82"/>
      <c r="C173" s="82"/>
      <c r="D173" s="82"/>
      <c r="E173" s="82"/>
      <c r="F173" s="82"/>
      <c r="G173" s="82"/>
      <c r="H173" s="155"/>
    </row>
    <row r="174" spans="1:8" ht="13">
      <c r="A174" s="82"/>
      <c r="B174" s="82"/>
      <c r="C174" s="82"/>
      <c r="D174" s="82"/>
      <c r="E174" s="82"/>
      <c r="F174" s="82"/>
      <c r="G174" s="82"/>
      <c r="H174" s="155"/>
    </row>
    <row r="175" spans="1:8" ht="13">
      <c r="A175" s="82"/>
      <c r="B175" s="82"/>
      <c r="C175" s="82"/>
      <c r="D175" s="82"/>
      <c r="E175" s="82"/>
      <c r="F175" s="82"/>
      <c r="G175" s="82"/>
      <c r="H175" s="155"/>
    </row>
    <row r="176" spans="1:8" ht="13">
      <c r="A176" s="82"/>
      <c r="B176" s="82"/>
      <c r="C176" s="82"/>
      <c r="D176" s="82"/>
      <c r="E176" s="82"/>
      <c r="F176" s="82"/>
      <c r="G176" s="82"/>
      <c r="H176" s="155"/>
    </row>
    <row r="177" spans="1:8" ht="13">
      <c r="A177" s="82"/>
      <c r="B177" s="82"/>
      <c r="C177" s="82"/>
      <c r="D177" s="82"/>
      <c r="E177" s="82"/>
      <c r="F177" s="82"/>
      <c r="G177" s="82"/>
      <c r="H177" s="155"/>
    </row>
    <row r="178" spans="1:8" ht="13">
      <c r="A178" s="82"/>
      <c r="B178" s="82"/>
      <c r="C178" s="82"/>
      <c r="D178" s="82"/>
      <c r="E178" s="82"/>
      <c r="F178" s="82"/>
      <c r="G178" s="82"/>
      <c r="H178" s="155"/>
    </row>
    <row r="179" spans="1:8" ht="13">
      <c r="A179" s="82"/>
      <c r="B179" s="82"/>
      <c r="C179" s="82"/>
      <c r="D179" s="82"/>
      <c r="E179" s="82"/>
      <c r="F179" s="82"/>
      <c r="G179" s="82"/>
      <c r="H179" s="155"/>
    </row>
    <row r="180" spans="1:8" ht="13">
      <c r="A180" s="82"/>
      <c r="B180" s="82"/>
      <c r="C180" s="82"/>
      <c r="D180" s="82"/>
      <c r="E180" s="82"/>
      <c r="F180" s="82"/>
      <c r="G180" s="82"/>
      <c r="H180" s="155"/>
    </row>
    <row r="181" spans="1:8" ht="13">
      <c r="A181" s="82"/>
      <c r="B181" s="82"/>
      <c r="C181" s="82"/>
      <c r="D181" s="82"/>
      <c r="E181" s="82"/>
      <c r="F181" s="82"/>
      <c r="G181" s="82"/>
      <c r="H181" s="155"/>
    </row>
    <row r="182" spans="1:8" ht="13">
      <c r="A182" s="82"/>
      <c r="B182" s="82"/>
      <c r="C182" s="82"/>
      <c r="D182" s="82"/>
      <c r="E182" s="82"/>
      <c r="F182" s="82"/>
      <c r="G182" s="82"/>
      <c r="H182" s="155"/>
    </row>
    <row r="183" spans="1:8" ht="13">
      <c r="A183" s="82"/>
      <c r="B183" s="82"/>
      <c r="C183" s="82"/>
      <c r="D183" s="82"/>
      <c r="E183" s="82"/>
      <c r="F183" s="82"/>
      <c r="G183" s="82"/>
      <c r="H183" s="155"/>
    </row>
    <row r="184" spans="1:8" ht="13">
      <c r="A184" s="82"/>
      <c r="B184" s="82"/>
      <c r="C184" s="82"/>
      <c r="D184" s="82"/>
      <c r="E184" s="82"/>
      <c r="F184" s="82"/>
      <c r="G184" s="82"/>
      <c r="H184" s="155"/>
    </row>
    <row r="185" spans="1:8" ht="13">
      <c r="A185" s="82"/>
      <c r="B185" s="82"/>
      <c r="C185" s="82"/>
      <c r="D185" s="82"/>
      <c r="E185" s="82"/>
      <c r="F185" s="82"/>
      <c r="G185" s="82"/>
      <c r="H185" s="155"/>
    </row>
    <row r="186" spans="1:8" ht="13">
      <c r="A186" s="82"/>
      <c r="B186" s="82"/>
      <c r="C186" s="82"/>
      <c r="D186" s="82"/>
      <c r="E186" s="82"/>
      <c r="F186" s="82"/>
      <c r="G186" s="82"/>
      <c r="H186" s="155"/>
    </row>
    <row r="187" spans="1:8" ht="13">
      <c r="A187" s="82"/>
      <c r="B187" s="82"/>
      <c r="C187" s="82"/>
      <c r="D187" s="82"/>
      <c r="E187" s="82"/>
      <c r="F187" s="82"/>
      <c r="G187" s="82"/>
      <c r="H187" s="155"/>
    </row>
    <row r="188" spans="1:8" ht="13">
      <c r="A188" s="82"/>
      <c r="B188" s="82"/>
      <c r="C188" s="82"/>
      <c r="D188" s="82"/>
      <c r="E188" s="82"/>
      <c r="F188" s="82"/>
      <c r="G188" s="82"/>
      <c r="H188" s="155"/>
    </row>
    <row r="189" spans="1:8" ht="13">
      <c r="A189" s="82"/>
      <c r="B189" s="82"/>
      <c r="C189" s="82"/>
      <c r="D189" s="82"/>
      <c r="E189" s="82"/>
      <c r="F189" s="82"/>
      <c r="G189" s="82"/>
      <c r="H189" s="155"/>
    </row>
    <row r="190" spans="1:8" ht="13">
      <c r="A190" s="161" t="s">
        <v>295</v>
      </c>
      <c r="B190" s="82"/>
      <c r="C190" s="82"/>
      <c r="D190" s="82"/>
      <c r="E190" s="82"/>
      <c r="F190" s="82"/>
      <c r="G190" s="82"/>
      <c r="H190" s="155"/>
    </row>
    <row r="191" spans="1:8" ht="13">
      <c r="A191" s="82"/>
      <c r="B191" s="82"/>
      <c r="C191" s="82"/>
      <c r="D191" s="82"/>
      <c r="E191" s="82"/>
      <c r="F191" s="82"/>
      <c r="G191" s="82"/>
      <c r="H191" s="155"/>
    </row>
    <row r="192" spans="1:8" ht="13">
      <c r="A192" s="82"/>
      <c r="B192" s="82"/>
      <c r="C192" s="82"/>
      <c r="D192" s="82"/>
      <c r="E192" s="82"/>
      <c r="F192" s="82"/>
      <c r="G192" s="82"/>
      <c r="H192" s="155"/>
    </row>
    <row r="193" spans="1:8" ht="13">
      <c r="A193" s="162" t="s">
        <v>296</v>
      </c>
      <c r="B193" s="82"/>
      <c r="C193" s="82"/>
      <c r="D193" s="82"/>
      <c r="E193" s="82"/>
      <c r="F193" s="82"/>
      <c r="G193" s="82"/>
      <c r="H193" s="155"/>
    </row>
    <row r="194" spans="1:8" ht="16">
      <c r="A194" s="38"/>
      <c r="B194" s="38"/>
      <c r="C194" s="38"/>
      <c r="D194" s="38"/>
      <c r="E194" s="38"/>
      <c r="F194" s="38"/>
      <c r="G194" s="38"/>
      <c r="H194" s="39"/>
    </row>
    <row r="195" spans="1:8" ht="51">
      <c r="A195" s="51" t="s">
        <v>297</v>
      </c>
      <c r="B195" s="51" t="s">
        <v>298</v>
      </c>
      <c r="C195" s="51" t="s">
        <v>299</v>
      </c>
      <c r="D195" s="51" t="s">
        <v>300</v>
      </c>
      <c r="E195" s="51" t="s">
        <v>301</v>
      </c>
      <c r="F195" s="51" t="s">
        <v>289</v>
      </c>
      <c r="G195" s="51" t="s">
        <v>302</v>
      </c>
      <c r="H195" s="51" t="s">
        <v>303</v>
      </c>
    </row>
    <row r="196" spans="1:8" ht="16">
      <c r="A196" s="52">
        <v>45078</v>
      </c>
      <c r="B196" s="53">
        <v>3755.6</v>
      </c>
      <c r="C196" s="53">
        <v>20890.330000000002</v>
      </c>
      <c r="D196" s="53">
        <v>24645.93</v>
      </c>
      <c r="E196" s="53">
        <v>9599.57</v>
      </c>
      <c r="F196" s="53">
        <v>19931.75</v>
      </c>
      <c r="G196" s="53">
        <f t="shared" ref="G196:G203" si="11">SUM(E196:F196)</f>
        <v>29531.32</v>
      </c>
      <c r="H196" s="53">
        <f t="shared" ref="H196:H203" si="12">G196/D196</f>
        <v>1.1982229925995895</v>
      </c>
    </row>
    <row r="197" spans="1:8" ht="16">
      <c r="A197" s="52">
        <v>45170</v>
      </c>
      <c r="B197" s="53">
        <v>3755.6</v>
      </c>
      <c r="C197" s="53">
        <v>19934.25</v>
      </c>
      <c r="D197" s="53">
        <v>23689.85</v>
      </c>
      <c r="E197" s="53">
        <v>10381.42</v>
      </c>
      <c r="F197" s="53">
        <v>14040.76</v>
      </c>
      <c r="G197" s="53">
        <f t="shared" si="11"/>
        <v>24422.18</v>
      </c>
      <c r="H197" s="53">
        <f t="shared" si="12"/>
        <v>1.0309132392142628</v>
      </c>
    </row>
    <row r="198" spans="1:8" ht="16">
      <c r="A198" s="52">
        <v>45261</v>
      </c>
      <c r="B198" s="53">
        <v>3755.6</v>
      </c>
      <c r="C198" s="53">
        <v>23044.85</v>
      </c>
      <c r="D198" s="53">
        <v>26800.45</v>
      </c>
      <c r="E198" s="53">
        <v>9907.6299999999992</v>
      </c>
      <c r="F198" s="53">
        <v>23220.18</v>
      </c>
      <c r="G198" s="53">
        <f t="shared" si="11"/>
        <v>33127.81</v>
      </c>
      <c r="H198" s="53">
        <f t="shared" si="12"/>
        <v>1.2360915581641352</v>
      </c>
    </row>
    <row r="199" spans="1:8" ht="16">
      <c r="A199" s="52">
        <v>45352</v>
      </c>
      <c r="B199" s="53">
        <v>3755.6</v>
      </c>
      <c r="C199" s="53">
        <v>23073.51</v>
      </c>
      <c r="D199" s="53">
        <v>26829.11</v>
      </c>
      <c r="E199" s="53">
        <v>7465.67</v>
      </c>
      <c r="F199" s="53">
        <v>29086.39</v>
      </c>
      <c r="G199" s="53">
        <f t="shared" si="11"/>
        <v>36552.06</v>
      </c>
      <c r="H199" s="53">
        <f t="shared" si="12"/>
        <v>1.3624030018140743</v>
      </c>
    </row>
    <row r="200" spans="1:8" ht="16">
      <c r="A200" s="52">
        <v>45444</v>
      </c>
      <c r="B200" s="53">
        <v>3755.6</v>
      </c>
      <c r="C200" s="53">
        <v>21344.75</v>
      </c>
      <c r="D200" s="53">
        <v>25100.35</v>
      </c>
      <c r="E200" s="53">
        <v>8333.8799999999992</v>
      </c>
      <c r="F200" s="53">
        <v>21869.14</v>
      </c>
      <c r="G200" s="53">
        <f t="shared" si="11"/>
        <v>30203.019999999997</v>
      </c>
      <c r="H200" s="53">
        <f t="shared" si="12"/>
        <v>1.2032907907658656</v>
      </c>
    </row>
    <row r="201" spans="1:8" ht="16">
      <c r="A201" s="52">
        <v>45536</v>
      </c>
      <c r="B201" s="53">
        <v>4356.55</v>
      </c>
      <c r="C201" s="53">
        <v>23560.03</v>
      </c>
      <c r="D201" s="53">
        <v>27916.58</v>
      </c>
      <c r="E201" s="53">
        <v>17455.060000000001</v>
      </c>
      <c r="F201" s="53">
        <v>15443.85</v>
      </c>
      <c r="G201" s="53">
        <f t="shared" si="11"/>
        <v>32898.910000000003</v>
      </c>
      <c r="H201" s="53">
        <f t="shared" si="12"/>
        <v>1.1784720764506253</v>
      </c>
    </row>
    <row r="202" spans="1:8" ht="16">
      <c r="A202" s="52">
        <v>45627</v>
      </c>
      <c r="B202" s="53">
        <v>4356.55</v>
      </c>
      <c r="C202" s="53">
        <v>23604.51</v>
      </c>
      <c r="D202" s="53">
        <v>27961.06</v>
      </c>
      <c r="E202" s="53">
        <v>18010.79</v>
      </c>
      <c r="F202" s="53">
        <v>14496.21</v>
      </c>
      <c r="G202" s="53">
        <f t="shared" si="11"/>
        <v>32507</v>
      </c>
      <c r="H202" s="53">
        <f t="shared" si="12"/>
        <v>1.1625811038637304</v>
      </c>
    </row>
    <row r="203" spans="1:8" ht="16">
      <c r="A203" s="52">
        <v>45717</v>
      </c>
      <c r="B203" s="53">
        <v>4356.55</v>
      </c>
      <c r="C203" s="53">
        <v>23691.279999999999</v>
      </c>
      <c r="D203" s="53">
        <v>28047.83</v>
      </c>
      <c r="E203" s="53">
        <v>12483.53</v>
      </c>
      <c r="F203" s="53">
        <v>26568.34</v>
      </c>
      <c r="G203" s="53">
        <f t="shared" si="11"/>
        <v>39051.870000000003</v>
      </c>
      <c r="H203" s="53">
        <f t="shared" si="12"/>
        <v>1.3923312427378518</v>
      </c>
    </row>
    <row r="204" spans="1:8" ht="16">
      <c r="A204" s="38"/>
      <c r="B204" s="38"/>
      <c r="C204" s="38"/>
      <c r="D204" s="38"/>
      <c r="E204" s="38"/>
      <c r="F204" s="38"/>
      <c r="G204" s="38"/>
      <c r="H204" s="39"/>
    </row>
    <row r="205" spans="1:8" ht="13">
      <c r="A205" s="167" t="s">
        <v>304</v>
      </c>
      <c r="B205" s="82"/>
      <c r="C205" s="82"/>
      <c r="D205" s="82"/>
      <c r="E205" s="82"/>
      <c r="F205" s="82"/>
      <c r="G205" s="82"/>
      <c r="H205" s="155"/>
    </row>
    <row r="206" spans="1:8" ht="13">
      <c r="A206" s="161" t="s">
        <v>305</v>
      </c>
      <c r="B206" s="82"/>
      <c r="C206" s="82"/>
      <c r="D206" s="82"/>
      <c r="E206" s="82"/>
      <c r="F206" s="82"/>
      <c r="G206" s="82"/>
      <c r="H206" s="155"/>
    </row>
    <row r="207" spans="1:8" ht="13">
      <c r="A207" s="161" t="s">
        <v>306</v>
      </c>
      <c r="B207" s="82"/>
      <c r="C207" s="82"/>
      <c r="D207" s="82"/>
      <c r="E207" s="82"/>
      <c r="F207" s="82"/>
      <c r="G207" s="82"/>
      <c r="H207" s="155"/>
    </row>
    <row r="208" spans="1:8" ht="13">
      <c r="A208" s="161" t="s">
        <v>307</v>
      </c>
      <c r="B208" s="82"/>
      <c r="C208" s="82"/>
      <c r="D208" s="82"/>
      <c r="E208" s="82"/>
      <c r="F208" s="82"/>
      <c r="G208" s="82"/>
      <c r="H208" s="155"/>
    </row>
    <row r="209" spans="1:8" ht="13">
      <c r="A209" s="161" t="s">
        <v>308</v>
      </c>
      <c r="B209" s="82"/>
      <c r="C209" s="82"/>
      <c r="D209" s="82"/>
      <c r="E209" s="82"/>
      <c r="F209" s="82"/>
      <c r="G209" s="82"/>
      <c r="H209" s="155"/>
    </row>
    <row r="210" spans="1:8" ht="13">
      <c r="A210" s="161" t="s">
        <v>309</v>
      </c>
      <c r="B210" s="82"/>
      <c r="C210" s="82"/>
      <c r="D210" s="82"/>
      <c r="E210" s="82"/>
      <c r="F210" s="82"/>
      <c r="G210" s="82"/>
      <c r="H210" s="155"/>
    </row>
    <row r="211" spans="1:8" ht="16">
      <c r="A211" s="174"/>
      <c r="B211" s="82"/>
      <c r="C211" s="82"/>
      <c r="D211" s="82"/>
      <c r="E211" s="82"/>
      <c r="F211" s="82"/>
      <c r="G211" s="82"/>
      <c r="H211" s="155"/>
    </row>
    <row r="212" spans="1:8" ht="13">
      <c r="A212" s="167" t="s">
        <v>310</v>
      </c>
      <c r="B212" s="82"/>
      <c r="C212" s="82"/>
      <c r="D212" s="82"/>
      <c r="E212" s="82"/>
      <c r="F212" s="82"/>
      <c r="G212" s="82"/>
      <c r="H212" s="155"/>
    </row>
    <row r="213" spans="1:8" ht="13">
      <c r="A213" s="161" t="s">
        <v>311</v>
      </c>
      <c r="B213" s="82"/>
      <c r="C213" s="82"/>
      <c r="D213" s="82"/>
      <c r="E213" s="82"/>
      <c r="F213" s="82"/>
      <c r="G213" s="82"/>
      <c r="H213" s="155"/>
    </row>
    <row r="214" spans="1:8" ht="13">
      <c r="A214" s="161" t="s">
        <v>312</v>
      </c>
      <c r="B214" s="82"/>
      <c r="C214" s="82"/>
      <c r="D214" s="82"/>
      <c r="E214" s="82"/>
      <c r="F214" s="82"/>
      <c r="G214" s="82"/>
      <c r="H214" s="155"/>
    </row>
    <row r="215" spans="1:8" ht="13">
      <c r="A215" s="161" t="s">
        <v>313</v>
      </c>
      <c r="B215" s="82"/>
      <c r="C215" s="82"/>
      <c r="D215" s="82"/>
      <c r="E215" s="82"/>
      <c r="F215" s="82"/>
      <c r="G215" s="82"/>
      <c r="H215" s="155"/>
    </row>
    <row r="216" spans="1:8" ht="13">
      <c r="A216" s="161" t="s">
        <v>314</v>
      </c>
      <c r="B216" s="82"/>
      <c r="C216" s="82"/>
      <c r="D216" s="82"/>
      <c r="E216" s="82"/>
      <c r="F216" s="82"/>
      <c r="G216" s="82"/>
      <c r="H216" s="155"/>
    </row>
    <row r="217" spans="1:8" ht="13">
      <c r="A217" s="161" t="s">
        <v>315</v>
      </c>
      <c r="B217" s="82"/>
      <c r="C217" s="82"/>
      <c r="D217" s="82"/>
      <c r="E217" s="82"/>
      <c r="F217" s="82"/>
      <c r="G217" s="82"/>
      <c r="H217" s="155"/>
    </row>
    <row r="218" spans="1:8" ht="16">
      <c r="A218" s="38"/>
      <c r="B218" s="38"/>
      <c r="C218" s="38"/>
      <c r="D218" s="38"/>
      <c r="E218" s="38"/>
      <c r="F218" s="38"/>
      <c r="G218" s="38"/>
      <c r="H218" s="39"/>
    </row>
    <row r="219" spans="1:8" ht="16">
      <c r="A219" s="38"/>
      <c r="B219" s="38"/>
      <c r="C219" s="38"/>
      <c r="D219" s="38"/>
      <c r="E219" s="38"/>
      <c r="F219" s="38"/>
      <c r="G219" s="38"/>
      <c r="H219" s="39"/>
    </row>
    <row r="220" spans="1:8" ht="17">
      <c r="A220" s="157" t="s">
        <v>316</v>
      </c>
      <c r="B220" s="100"/>
      <c r="C220" s="157" t="s">
        <v>317</v>
      </c>
      <c r="D220" s="100"/>
      <c r="E220" s="157" t="s">
        <v>318</v>
      </c>
      <c r="F220" s="100"/>
      <c r="G220" s="40" t="s">
        <v>180</v>
      </c>
      <c r="H220" s="40" t="s">
        <v>181</v>
      </c>
    </row>
    <row r="221" spans="1:8" ht="16">
      <c r="A221" s="153" t="s">
        <v>300</v>
      </c>
      <c r="B221" s="100"/>
      <c r="C221" s="160">
        <v>26829</v>
      </c>
      <c r="D221" s="100"/>
      <c r="E221" s="160">
        <v>28048</v>
      </c>
      <c r="F221" s="100"/>
      <c r="G221" s="54">
        <f t="shared" ref="G221:G226" si="13">E221-C221</f>
        <v>1219</v>
      </c>
      <c r="H221" s="43">
        <f t="shared" ref="H221:H226" si="14">ROUND(100*G221/C221,4)</f>
        <v>4.5435999999999996</v>
      </c>
    </row>
    <row r="222" spans="1:8" ht="16">
      <c r="A222" s="153" t="s">
        <v>319</v>
      </c>
      <c r="B222" s="100"/>
      <c r="C222" s="160">
        <v>7466</v>
      </c>
      <c r="D222" s="100"/>
      <c r="E222" s="160">
        <v>12484</v>
      </c>
      <c r="F222" s="100"/>
      <c r="G222" s="54">
        <f t="shared" si="13"/>
        <v>5018</v>
      </c>
      <c r="H222" s="43">
        <f t="shared" si="14"/>
        <v>67.211399999999998</v>
      </c>
    </row>
    <row r="223" spans="1:8" ht="16">
      <c r="A223" s="153" t="s">
        <v>320</v>
      </c>
      <c r="B223" s="100"/>
      <c r="C223" s="160">
        <v>29086</v>
      </c>
      <c r="D223" s="100"/>
      <c r="E223" s="160">
        <v>26568</v>
      </c>
      <c r="F223" s="100"/>
      <c r="G223" s="54">
        <f t="shared" si="13"/>
        <v>-2518</v>
      </c>
      <c r="H223" s="43">
        <f t="shared" si="14"/>
        <v>-8.6570999999999998</v>
      </c>
    </row>
    <row r="224" spans="1:8" ht="16">
      <c r="A224" s="153" t="s">
        <v>321</v>
      </c>
      <c r="B224" s="100"/>
      <c r="C224" s="160">
        <v>36552</v>
      </c>
      <c r="D224" s="100"/>
      <c r="E224" s="160">
        <v>39052</v>
      </c>
      <c r="F224" s="100"/>
      <c r="G224" s="54">
        <f t="shared" si="13"/>
        <v>2500</v>
      </c>
      <c r="H224" s="43">
        <f t="shared" si="14"/>
        <v>6.8395999999999999</v>
      </c>
    </row>
    <row r="225" spans="1:8" ht="16">
      <c r="A225" s="153" t="s">
        <v>322</v>
      </c>
      <c r="B225" s="100"/>
      <c r="C225" s="153">
        <v>1.36</v>
      </c>
      <c r="D225" s="100"/>
      <c r="E225" s="153">
        <v>1.39</v>
      </c>
      <c r="F225" s="100"/>
      <c r="G225" s="43">
        <f t="shared" si="13"/>
        <v>2.9999999999999805E-2</v>
      </c>
      <c r="H225" s="43">
        <f t="shared" si="14"/>
        <v>2.2059000000000002</v>
      </c>
    </row>
    <row r="226" spans="1:8" ht="16">
      <c r="A226" s="153" t="s">
        <v>323</v>
      </c>
      <c r="B226" s="100"/>
      <c r="C226" s="159">
        <v>0.57699999999999996</v>
      </c>
      <c r="D226" s="100"/>
      <c r="E226" s="159">
        <v>0.58199999999999996</v>
      </c>
      <c r="F226" s="100"/>
      <c r="G226" s="42">
        <f t="shared" si="13"/>
        <v>5.0000000000000044E-3</v>
      </c>
      <c r="H226" s="43">
        <f t="shared" si="14"/>
        <v>0.86660000000000004</v>
      </c>
    </row>
    <row r="227" spans="1:8" ht="16">
      <c r="A227" s="153" t="s">
        <v>324</v>
      </c>
      <c r="B227" s="100"/>
      <c r="C227" s="159">
        <v>0.42299999999999999</v>
      </c>
      <c r="D227" s="100"/>
      <c r="E227" s="159">
        <v>0.41799999999999998</v>
      </c>
      <c r="F227" s="100"/>
      <c r="G227" s="42">
        <v>-5.0000000000000001E-3</v>
      </c>
      <c r="H227" s="43">
        <v>-1.18</v>
      </c>
    </row>
    <row r="228" spans="1:8" ht="16">
      <c r="A228" s="38"/>
      <c r="B228" s="38"/>
      <c r="C228" s="38"/>
      <c r="D228" s="38"/>
      <c r="E228" s="38"/>
      <c r="F228" s="38"/>
      <c r="G228" s="38"/>
      <c r="H228" s="39"/>
    </row>
    <row r="229" spans="1:8" ht="13">
      <c r="A229" s="166" t="s">
        <v>325</v>
      </c>
      <c r="B229" s="82"/>
      <c r="C229" s="82"/>
      <c r="D229" s="82"/>
      <c r="E229" s="82"/>
      <c r="F229" s="82"/>
      <c r="G229" s="82"/>
      <c r="H229" s="155"/>
    </row>
    <row r="230" spans="1:8" ht="13">
      <c r="A230" s="161" t="s">
        <v>326</v>
      </c>
      <c r="B230" s="82"/>
      <c r="C230" s="82"/>
      <c r="D230" s="82"/>
      <c r="E230" s="82"/>
      <c r="F230" s="82"/>
      <c r="G230" s="82"/>
      <c r="H230" s="155"/>
    </row>
    <row r="231" spans="1:8" ht="13">
      <c r="A231" s="161" t="s">
        <v>327</v>
      </c>
      <c r="B231" s="82"/>
      <c r="C231" s="82"/>
      <c r="D231" s="82"/>
      <c r="E231" s="82"/>
      <c r="F231" s="82"/>
      <c r="G231" s="82"/>
      <c r="H231" s="155"/>
    </row>
    <row r="232" spans="1:8" ht="13">
      <c r="A232" s="165" t="s">
        <v>328</v>
      </c>
      <c r="B232" s="82"/>
      <c r="C232" s="82"/>
      <c r="D232" s="82"/>
      <c r="E232" s="82"/>
      <c r="F232" s="82"/>
      <c r="G232" s="82"/>
      <c r="H232" s="155"/>
    </row>
    <row r="233" spans="1:8" ht="13">
      <c r="A233" s="165" t="s">
        <v>329</v>
      </c>
      <c r="B233" s="82"/>
      <c r="C233" s="82"/>
      <c r="D233" s="82"/>
      <c r="E233" s="82"/>
      <c r="F233" s="82"/>
      <c r="G233" s="82"/>
      <c r="H233" s="155"/>
    </row>
    <row r="234" spans="1:8" ht="13">
      <c r="A234" s="161" t="s">
        <v>330</v>
      </c>
      <c r="B234" s="82"/>
      <c r="C234" s="82"/>
      <c r="D234" s="82"/>
      <c r="E234" s="82"/>
      <c r="F234" s="82"/>
      <c r="G234" s="82"/>
      <c r="H234" s="155"/>
    </row>
    <row r="235" spans="1:8" ht="16">
      <c r="A235" s="38"/>
      <c r="B235" s="38"/>
      <c r="C235" s="38"/>
      <c r="D235" s="38"/>
      <c r="E235" s="38"/>
      <c r="F235" s="38"/>
      <c r="G235" s="38"/>
      <c r="H235" s="39"/>
    </row>
    <row r="236" spans="1:8" ht="16">
      <c r="A236" s="38"/>
      <c r="B236" s="38"/>
      <c r="C236" s="38"/>
      <c r="D236" s="38"/>
      <c r="E236" s="38"/>
      <c r="F236" s="38"/>
      <c r="G236" s="38"/>
      <c r="H236" s="39"/>
    </row>
    <row r="237" spans="1:8" ht="13">
      <c r="A237" s="156" t="s">
        <v>331</v>
      </c>
      <c r="B237" s="88"/>
      <c r="C237" s="88"/>
      <c r="D237" s="88"/>
      <c r="E237" s="88"/>
      <c r="F237" s="88"/>
      <c r="G237" s="88"/>
      <c r="H237" s="100"/>
    </row>
    <row r="238" spans="1:8" ht="17">
      <c r="A238" s="157" t="s">
        <v>332</v>
      </c>
      <c r="B238" s="100"/>
      <c r="C238" s="40" t="s">
        <v>333</v>
      </c>
      <c r="D238" s="40" t="s">
        <v>334</v>
      </c>
      <c r="E238" s="157" t="s">
        <v>146</v>
      </c>
      <c r="F238" s="100"/>
      <c r="G238" s="157" t="s">
        <v>335</v>
      </c>
      <c r="H238" s="100"/>
    </row>
    <row r="239" spans="1:8" ht="17">
      <c r="A239" s="153" t="s">
        <v>336</v>
      </c>
      <c r="B239" s="100"/>
      <c r="C239" s="54">
        <v>5399</v>
      </c>
      <c r="D239" s="43" t="s">
        <v>337</v>
      </c>
      <c r="E239" s="153" t="s">
        <v>338</v>
      </c>
      <c r="F239" s="100"/>
      <c r="G239" s="153" t="s">
        <v>339</v>
      </c>
      <c r="H239" s="100"/>
    </row>
    <row r="240" spans="1:8" ht="34">
      <c r="A240" s="153" t="s">
        <v>340</v>
      </c>
      <c r="B240" s="100"/>
      <c r="C240" s="43" t="s">
        <v>341</v>
      </c>
      <c r="D240" s="43" t="s">
        <v>342</v>
      </c>
      <c r="E240" s="153" t="s">
        <v>343</v>
      </c>
      <c r="F240" s="100"/>
      <c r="G240" s="153" t="s">
        <v>344</v>
      </c>
      <c r="H240" s="100"/>
    </row>
    <row r="241" spans="1:8" ht="17">
      <c r="A241" s="153" t="s">
        <v>268</v>
      </c>
      <c r="B241" s="100"/>
      <c r="C241" s="54">
        <v>5036</v>
      </c>
      <c r="D241" s="43" t="s">
        <v>345</v>
      </c>
      <c r="E241" s="153" t="s">
        <v>346</v>
      </c>
      <c r="F241" s="100"/>
      <c r="G241" s="153" t="s">
        <v>347</v>
      </c>
      <c r="H241" s="100"/>
    </row>
    <row r="242" spans="1:8" ht="34">
      <c r="A242" s="153" t="s">
        <v>348</v>
      </c>
      <c r="B242" s="100"/>
      <c r="C242" s="43" t="s">
        <v>349</v>
      </c>
      <c r="D242" s="43" t="s">
        <v>342</v>
      </c>
      <c r="E242" s="153" t="s">
        <v>350</v>
      </c>
      <c r="F242" s="100"/>
      <c r="G242" s="153" t="s">
        <v>351</v>
      </c>
      <c r="H242" s="100"/>
    </row>
    <row r="243" spans="1:8" ht="17">
      <c r="A243" s="153" t="s">
        <v>352</v>
      </c>
      <c r="B243" s="100"/>
      <c r="C243" s="54">
        <v>2518</v>
      </c>
      <c r="D243" s="43" t="s">
        <v>345</v>
      </c>
      <c r="E243" s="153" t="s">
        <v>353</v>
      </c>
      <c r="F243" s="100"/>
      <c r="G243" s="153" t="s">
        <v>354</v>
      </c>
      <c r="H243" s="100"/>
    </row>
    <row r="244" spans="1:8" ht="16">
      <c r="A244" s="38"/>
      <c r="B244" s="38"/>
      <c r="C244" s="38"/>
      <c r="D244" s="38"/>
      <c r="E244" s="38"/>
      <c r="F244" s="38"/>
      <c r="G244" s="38"/>
      <c r="H244" s="39"/>
    </row>
    <row r="245" spans="1:8" ht="16">
      <c r="A245" s="38"/>
      <c r="B245" s="38"/>
      <c r="C245" s="38"/>
      <c r="D245" s="38"/>
      <c r="E245" s="38"/>
      <c r="F245" s="38"/>
      <c r="G245" s="38"/>
      <c r="H245" s="39"/>
    </row>
    <row r="246" spans="1:8" ht="13">
      <c r="A246" s="154" t="s">
        <v>355</v>
      </c>
      <c r="B246" s="82"/>
      <c r="C246" s="82"/>
      <c r="D246" s="82"/>
      <c r="E246" s="82"/>
      <c r="F246" s="82"/>
      <c r="G246" s="82"/>
      <c r="H246" s="155"/>
    </row>
    <row r="247" spans="1:8" ht="16">
      <c r="A247" s="38"/>
      <c r="B247" s="38"/>
      <c r="C247" s="38"/>
      <c r="D247" s="38"/>
      <c r="E247" s="38"/>
      <c r="F247" s="38"/>
      <c r="G247" s="38"/>
      <c r="H247" s="39"/>
    </row>
    <row r="248" spans="1:8" ht="13">
      <c r="A248" s="156" t="s">
        <v>356</v>
      </c>
      <c r="B248" s="88"/>
      <c r="C248" s="88"/>
      <c r="D248" s="88"/>
      <c r="E248" s="88"/>
      <c r="F248" s="88"/>
      <c r="G248" s="88"/>
      <c r="H248" s="100"/>
    </row>
    <row r="249" spans="1:8" ht="17">
      <c r="A249" s="40" t="s">
        <v>357</v>
      </c>
      <c r="B249" s="40" t="s">
        <v>358</v>
      </c>
      <c r="C249" s="157" t="s">
        <v>359</v>
      </c>
      <c r="D249" s="100"/>
      <c r="E249" s="40" t="s">
        <v>360</v>
      </c>
      <c r="F249" s="157" t="s">
        <v>361</v>
      </c>
      <c r="G249" s="88"/>
      <c r="H249" s="100"/>
    </row>
    <row r="250" spans="1:8" ht="34">
      <c r="A250" s="43" t="s">
        <v>362</v>
      </c>
      <c r="B250" s="54">
        <v>8265</v>
      </c>
      <c r="C250" s="153" t="s">
        <v>363</v>
      </c>
      <c r="D250" s="100"/>
      <c r="E250" s="43" t="s">
        <v>364</v>
      </c>
      <c r="F250" s="153" t="s">
        <v>365</v>
      </c>
      <c r="G250" s="88"/>
      <c r="H250" s="100"/>
    </row>
    <row r="251" spans="1:8" ht="34">
      <c r="A251" s="43" t="s">
        <v>366</v>
      </c>
      <c r="B251" s="43" t="s">
        <v>367</v>
      </c>
      <c r="C251" s="153" t="s">
        <v>368</v>
      </c>
      <c r="D251" s="100"/>
      <c r="E251" s="43" t="s">
        <v>364</v>
      </c>
      <c r="F251" s="153" t="s">
        <v>369</v>
      </c>
      <c r="G251" s="88"/>
      <c r="H251" s="100"/>
    </row>
    <row r="252" spans="1:8" ht="17">
      <c r="A252" s="43" t="s">
        <v>370</v>
      </c>
      <c r="B252" s="54">
        <v>3427</v>
      </c>
      <c r="C252" s="153" t="s">
        <v>371</v>
      </c>
      <c r="D252" s="100"/>
      <c r="E252" s="43" t="s">
        <v>372</v>
      </c>
      <c r="F252" s="153" t="s">
        <v>373</v>
      </c>
      <c r="G252" s="88"/>
      <c r="H252" s="100"/>
    </row>
    <row r="253" spans="1:8" ht="17">
      <c r="A253" s="43" t="s">
        <v>258</v>
      </c>
      <c r="B253" s="43" t="s">
        <v>374</v>
      </c>
      <c r="C253" s="153" t="s">
        <v>375</v>
      </c>
      <c r="D253" s="100"/>
      <c r="E253" s="43" t="s">
        <v>364</v>
      </c>
      <c r="F253" s="153" t="s">
        <v>376</v>
      </c>
      <c r="G253" s="88"/>
      <c r="H253" s="100"/>
    </row>
    <row r="254" spans="1:8" ht="17">
      <c r="A254" s="43" t="s">
        <v>377</v>
      </c>
      <c r="B254" s="43" t="s">
        <v>378</v>
      </c>
      <c r="C254" s="153" t="s">
        <v>379</v>
      </c>
      <c r="D254" s="100"/>
      <c r="E254" s="43" t="s">
        <v>380</v>
      </c>
      <c r="F254" s="153" t="s">
        <v>381</v>
      </c>
      <c r="G254" s="88"/>
      <c r="H254" s="100"/>
    </row>
    <row r="255" spans="1:8" ht="16">
      <c r="A255" s="38"/>
      <c r="B255" s="38"/>
      <c r="C255" s="38"/>
      <c r="D255" s="38"/>
      <c r="E255" s="38"/>
      <c r="F255" s="38"/>
      <c r="G255" s="38"/>
      <c r="H255" s="39"/>
    </row>
    <row r="256" spans="1:8" ht="16">
      <c r="A256" s="38"/>
      <c r="B256" s="38"/>
      <c r="C256" s="38"/>
      <c r="D256" s="38"/>
      <c r="E256" s="38"/>
      <c r="F256" s="38"/>
      <c r="G256" s="38"/>
      <c r="H256" s="39"/>
    </row>
    <row r="257" spans="1:8" ht="13">
      <c r="A257" s="158" t="s">
        <v>382</v>
      </c>
      <c r="B257" s="88"/>
      <c r="C257" s="88"/>
      <c r="D257" s="88"/>
      <c r="E257" s="88"/>
      <c r="F257" s="88"/>
      <c r="G257" s="88"/>
      <c r="H257" s="100"/>
    </row>
    <row r="258" spans="1:8" ht="17">
      <c r="A258" s="157" t="s">
        <v>316</v>
      </c>
      <c r="B258" s="100"/>
      <c r="C258" s="157" t="s">
        <v>178</v>
      </c>
      <c r="D258" s="100"/>
      <c r="E258" s="157" t="s">
        <v>179</v>
      </c>
      <c r="F258" s="100"/>
      <c r="G258" s="40" t="s">
        <v>180</v>
      </c>
      <c r="H258" s="40" t="s">
        <v>383</v>
      </c>
    </row>
    <row r="259" spans="1:8" ht="17">
      <c r="A259" s="153" t="s">
        <v>300</v>
      </c>
      <c r="B259" s="100"/>
      <c r="C259" s="153" t="s">
        <v>384</v>
      </c>
      <c r="D259" s="100"/>
      <c r="E259" s="153" t="s">
        <v>385</v>
      </c>
      <c r="F259" s="100"/>
      <c r="G259" s="43">
        <f>4.5%</f>
        <v>4.4999999999999998E-2</v>
      </c>
      <c r="H259" s="43" t="s">
        <v>386</v>
      </c>
    </row>
    <row r="260" spans="1:8" ht="17">
      <c r="A260" s="153" t="s">
        <v>321</v>
      </c>
      <c r="B260" s="100"/>
      <c r="C260" s="153" t="s">
        <v>387</v>
      </c>
      <c r="D260" s="100"/>
      <c r="E260" s="153" t="s">
        <v>388</v>
      </c>
      <c r="F260" s="100"/>
      <c r="G260" s="43">
        <f>6.8%</f>
        <v>6.8000000000000005E-2</v>
      </c>
      <c r="H260" s="43" t="s">
        <v>386</v>
      </c>
    </row>
    <row r="261" spans="1:8" ht="17">
      <c r="A261" s="153" t="s">
        <v>322</v>
      </c>
      <c r="B261" s="100"/>
      <c r="C261" s="153" t="s">
        <v>389</v>
      </c>
      <c r="D261" s="100"/>
      <c r="E261" s="153" t="s">
        <v>390</v>
      </c>
      <c r="F261" s="100"/>
      <c r="G261" s="43">
        <f>2.2%</f>
        <v>2.2000000000000002E-2</v>
      </c>
      <c r="H261" s="43" t="s">
        <v>391</v>
      </c>
    </row>
    <row r="262" spans="1:8" ht="17">
      <c r="A262" s="153" t="s">
        <v>268</v>
      </c>
      <c r="B262" s="100"/>
      <c r="C262" s="153" t="s">
        <v>392</v>
      </c>
      <c r="D262" s="100"/>
      <c r="E262" s="153" t="s">
        <v>393</v>
      </c>
      <c r="F262" s="100"/>
      <c r="G262" s="42">
        <v>-0.65400000000000003</v>
      </c>
      <c r="H262" s="43" t="s">
        <v>394</v>
      </c>
    </row>
    <row r="263" spans="1:8" ht="17">
      <c r="A263" s="153" t="s">
        <v>395</v>
      </c>
      <c r="B263" s="100"/>
      <c r="C263" s="153" t="s">
        <v>396</v>
      </c>
      <c r="D263" s="100"/>
      <c r="E263" s="153" t="s">
        <v>397</v>
      </c>
      <c r="F263" s="100"/>
      <c r="G263" s="42">
        <v>-0.34399999999999997</v>
      </c>
      <c r="H263" s="43" t="s">
        <v>398</v>
      </c>
    </row>
    <row r="264" spans="1:8" ht="17">
      <c r="A264" s="153" t="s">
        <v>399</v>
      </c>
      <c r="B264" s="100"/>
      <c r="C264" s="153" t="s">
        <v>400</v>
      </c>
      <c r="D264" s="100"/>
      <c r="E264" s="153" t="s">
        <v>401</v>
      </c>
      <c r="F264" s="100"/>
      <c r="G264" s="43" t="s">
        <v>402</v>
      </c>
      <c r="H264" s="43" t="s">
        <v>403</v>
      </c>
    </row>
    <row r="265" spans="1:8" ht="17">
      <c r="A265" s="153" t="s">
        <v>404</v>
      </c>
      <c r="B265" s="100"/>
      <c r="C265" s="153" t="s">
        <v>405</v>
      </c>
      <c r="D265" s="100"/>
      <c r="E265" s="153" t="s">
        <v>406</v>
      </c>
      <c r="F265" s="100"/>
      <c r="G265" s="42">
        <v>-0.751</v>
      </c>
      <c r="H265" s="43" t="s">
        <v>407</v>
      </c>
    </row>
    <row r="266" spans="1:8" ht="17">
      <c r="A266" s="153" t="s">
        <v>408</v>
      </c>
      <c r="B266" s="100"/>
      <c r="C266" s="159">
        <v>0.93200000000000005</v>
      </c>
      <c r="D266" s="100"/>
      <c r="E266" s="159">
        <v>0.43099999999999999</v>
      </c>
      <c r="F266" s="100"/>
      <c r="G266" s="43" t="s">
        <v>409</v>
      </c>
      <c r="H266" s="43" t="s">
        <v>410</v>
      </c>
    </row>
    <row r="267" spans="1:8" ht="17">
      <c r="A267" s="153" t="s">
        <v>411</v>
      </c>
      <c r="B267" s="100"/>
      <c r="C267" s="153" t="s">
        <v>412</v>
      </c>
      <c r="D267" s="100"/>
      <c r="E267" s="153" t="s">
        <v>413</v>
      </c>
      <c r="F267" s="100"/>
      <c r="G267" s="43" t="s">
        <v>414</v>
      </c>
      <c r="H267" s="43" t="s">
        <v>415</v>
      </c>
    </row>
    <row r="268" spans="1:8" ht="16">
      <c r="A268" s="38"/>
      <c r="B268" s="38"/>
      <c r="C268" s="38"/>
      <c r="D268" s="38"/>
      <c r="E268" s="38"/>
      <c r="F268" s="38"/>
      <c r="G268" s="38"/>
      <c r="H268" s="39"/>
    </row>
    <row r="269" spans="1:8" ht="13">
      <c r="A269" s="165" t="s">
        <v>416</v>
      </c>
      <c r="B269" s="82"/>
      <c r="C269" s="82"/>
      <c r="D269" s="82"/>
      <c r="E269" s="82"/>
      <c r="F269" s="82"/>
      <c r="G269" s="82"/>
      <c r="H269" s="155"/>
    </row>
    <row r="270" spans="1:8" ht="13">
      <c r="A270" s="82"/>
      <c r="B270" s="82"/>
      <c r="C270" s="82"/>
      <c r="D270" s="82"/>
      <c r="E270" s="82"/>
      <c r="F270" s="82"/>
      <c r="G270" s="82"/>
      <c r="H270" s="155"/>
    </row>
    <row r="271" spans="1:8" ht="13">
      <c r="A271" s="82"/>
      <c r="B271" s="82"/>
      <c r="C271" s="82"/>
      <c r="D271" s="82"/>
      <c r="E271" s="82"/>
      <c r="F271" s="82"/>
      <c r="G271" s="82"/>
      <c r="H271" s="155"/>
    </row>
    <row r="272" spans="1:8" ht="13">
      <c r="A272" s="82"/>
      <c r="B272" s="82"/>
      <c r="C272" s="82"/>
      <c r="D272" s="82"/>
      <c r="E272" s="82"/>
      <c r="F272" s="82"/>
      <c r="G272" s="82"/>
      <c r="H272" s="155"/>
    </row>
    <row r="273" spans="1:8" ht="13">
      <c r="A273" s="82"/>
      <c r="B273" s="82"/>
      <c r="C273" s="82"/>
      <c r="D273" s="82"/>
      <c r="E273" s="82"/>
      <c r="F273" s="82"/>
      <c r="G273" s="82"/>
      <c r="H273" s="155"/>
    </row>
    <row r="274" spans="1:8" ht="13">
      <c r="A274" s="82"/>
      <c r="B274" s="82"/>
      <c r="C274" s="82"/>
      <c r="D274" s="82"/>
      <c r="E274" s="82"/>
      <c r="F274" s="82"/>
      <c r="G274" s="82"/>
      <c r="H274" s="155"/>
    </row>
    <row r="275" spans="1:8" ht="13">
      <c r="A275" s="82"/>
      <c r="B275" s="82"/>
      <c r="C275" s="82"/>
      <c r="D275" s="82"/>
      <c r="E275" s="82"/>
      <c r="F275" s="82"/>
      <c r="G275" s="82"/>
      <c r="H275" s="155"/>
    </row>
    <row r="276" spans="1:8" ht="13">
      <c r="A276" s="82"/>
      <c r="B276" s="82"/>
      <c r="C276" s="82"/>
      <c r="D276" s="82"/>
      <c r="E276" s="82"/>
      <c r="F276" s="82"/>
      <c r="G276" s="82"/>
      <c r="H276" s="155"/>
    </row>
    <row r="277" spans="1:8" ht="13">
      <c r="A277" s="82"/>
      <c r="B277" s="82"/>
      <c r="C277" s="82"/>
      <c r="D277" s="82"/>
      <c r="E277" s="82"/>
      <c r="F277" s="82"/>
      <c r="G277" s="82"/>
      <c r="H277" s="155"/>
    </row>
    <row r="278" spans="1:8" ht="16">
      <c r="A278" s="38"/>
      <c r="B278" s="38"/>
      <c r="C278" s="38"/>
      <c r="D278" s="38"/>
      <c r="E278" s="38"/>
      <c r="F278" s="38"/>
      <c r="G278" s="38"/>
      <c r="H278" s="39"/>
    </row>
    <row r="279" spans="1:8" ht="13">
      <c r="A279" s="162" t="s">
        <v>417</v>
      </c>
      <c r="B279" s="82"/>
      <c r="C279" s="82"/>
      <c r="D279" s="82"/>
      <c r="E279" s="82"/>
      <c r="F279" s="82"/>
      <c r="G279" s="82"/>
      <c r="H279" s="155"/>
    </row>
    <row r="280" spans="1:8" ht="16">
      <c r="A280" s="38"/>
      <c r="B280" s="38"/>
      <c r="C280" s="38"/>
      <c r="D280" s="38"/>
      <c r="E280" s="38"/>
      <c r="F280" s="38"/>
      <c r="G280" s="38"/>
      <c r="H280" s="39"/>
    </row>
    <row r="281" spans="1:8" ht="13">
      <c r="A281" s="163" t="s">
        <v>418</v>
      </c>
      <c r="B281" s="82"/>
      <c r="C281" s="82"/>
      <c r="D281" s="82"/>
      <c r="E281" s="82"/>
      <c r="F281" s="82"/>
      <c r="G281" s="82"/>
      <c r="H281" s="155"/>
    </row>
    <row r="282" spans="1:8" ht="16">
      <c r="A282" s="38"/>
      <c r="B282" s="38"/>
      <c r="C282" s="38"/>
      <c r="D282" s="38"/>
      <c r="E282" s="38"/>
      <c r="F282" s="38"/>
      <c r="G282" s="38"/>
      <c r="H282" s="39"/>
    </row>
    <row r="283" spans="1:8" ht="13">
      <c r="A283" s="164" t="s">
        <v>419</v>
      </c>
      <c r="B283" s="82"/>
      <c r="C283" s="82"/>
      <c r="D283" s="82"/>
      <c r="E283" s="82"/>
      <c r="F283" s="82"/>
      <c r="G283" s="82"/>
      <c r="H283" s="155"/>
    </row>
    <row r="284" spans="1:8" ht="16">
      <c r="A284" s="55"/>
      <c r="B284" s="38"/>
      <c r="C284" s="38"/>
      <c r="D284" s="38"/>
      <c r="E284" s="38"/>
      <c r="F284" s="38"/>
      <c r="G284" s="38"/>
      <c r="H284" s="39"/>
    </row>
    <row r="285" spans="1:8" ht="17">
      <c r="A285" s="40" t="s">
        <v>277</v>
      </c>
      <c r="B285" s="157" t="s">
        <v>420</v>
      </c>
      <c r="C285" s="88"/>
      <c r="D285" s="88"/>
      <c r="E285" s="100"/>
      <c r="F285" s="157" t="s">
        <v>421</v>
      </c>
      <c r="G285" s="88"/>
      <c r="H285" s="100"/>
    </row>
    <row r="286" spans="1:8" ht="27.75" customHeight="1">
      <c r="A286" s="43" t="s">
        <v>422</v>
      </c>
      <c r="B286" s="159">
        <v>6.9000000000000006E-2</v>
      </c>
      <c r="C286" s="88"/>
      <c r="D286" s="88"/>
      <c r="E286" s="100"/>
      <c r="F286" s="153" t="s">
        <v>423</v>
      </c>
      <c r="G286" s="88"/>
      <c r="H286" s="100"/>
    </row>
    <row r="287" spans="1:8" ht="34">
      <c r="A287" s="43" t="s">
        <v>424</v>
      </c>
      <c r="B287" s="159">
        <v>0.13</v>
      </c>
      <c r="C287" s="88"/>
      <c r="D287" s="88"/>
      <c r="E287" s="100"/>
      <c r="F287" s="153" t="s">
        <v>425</v>
      </c>
      <c r="G287" s="88"/>
      <c r="H287" s="100"/>
    </row>
    <row r="288" spans="1:8" ht="34">
      <c r="A288" s="43" t="s">
        <v>426</v>
      </c>
      <c r="B288" s="159">
        <v>6.0999999999999999E-2</v>
      </c>
      <c r="C288" s="88"/>
      <c r="D288" s="88"/>
      <c r="E288" s="100"/>
      <c r="F288" s="153" t="s">
        <v>427</v>
      </c>
      <c r="G288" s="88"/>
      <c r="H288" s="100"/>
    </row>
    <row r="289" spans="1:8" ht="16">
      <c r="A289" s="38"/>
      <c r="B289" s="38"/>
      <c r="C289" s="38"/>
      <c r="D289" s="38"/>
      <c r="E289" s="38"/>
      <c r="F289" s="38"/>
      <c r="G289" s="38"/>
      <c r="H289" s="39"/>
    </row>
    <row r="290" spans="1:8" ht="13">
      <c r="A290" s="167" t="s">
        <v>428</v>
      </c>
      <c r="B290" s="82"/>
      <c r="C290" s="82"/>
      <c r="D290" s="82"/>
      <c r="E290" s="82"/>
      <c r="F290" s="82"/>
      <c r="G290" s="82"/>
      <c r="H290" s="155"/>
    </row>
    <row r="291" spans="1:8" ht="16">
      <c r="A291" s="50"/>
      <c r="B291" s="50"/>
      <c r="C291" s="50"/>
      <c r="D291" s="161"/>
      <c r="E291" s="82"/>
      <c r="F291" s="38"/>
      <c r="G291" s="38"/>
      <c r="H291" s="39"/>
    </row>
    <row r="292" spans="1:8" ht="13">
      <c r="A292" s="165" t="s">
        <v>429</v>
      </c>
      <c r="B292" s="82"/>
      <c r="C292" s="82"/>
      <c r="D292" s="82"/>
      <c r="E292" s="82"/>
      <c r="F292" s="82"/>
      <c r="G292" s="82"/>
      <c r="H292" s="155"/>
    </row>
    <row r="293" spans="1:8" ht="13">
      <c r="A293" s="165" t="s">
        <v>430</v>
      </c>
      <c r="B293" s="82"/>
      <c r="C293" s="82"/>
      <c r="D293" s="82"/>
      <c r="E293" s="82"/>
      <c r="F293" s="82"/>
      <c r="G293" s="82"/>
      <c r="H293" s="155"/>
    </row>
    <row r="294" spans="1:8" ht="13">
      <c r="A294" s="165" t="s">
        <v>431</v>
      </c>
      <c r="B294" s="82"/>
      <c r="C294" s="82"/>
      <c r="D294" s="82"/>
      <c r="E294" s="82"/>
      <c r="F294" s="82"/>
      <c r="G294" s="82"/>
      <c r="H294" s="155"/>
    </row>
    <row r="295" spans="1:8" ht="13">
      <c r="A295" s="165" t="s">
        <v>432</v>
      </c>
      <c r="B295" s="82"/>
      <c r="C295" s="82"/>
      <c r="D295" s="82"/>
      <c r="E295" s="82"/>
      <c r="F295" s="82"/>
      <c r="G295" s="82"/>
      <c r="H295" s="155"/>
    </row>
    <row r="296" spans="1:8" ht="13">
      <c r="A296" s="165" t="s">
        <v>433</v>
      </c>
      <c r="B296" s="82"/>
      <c r="C296" s="82"/>
      <c r="D296" s="82"/>
      <c r="E296" s="82"/>
      <c r="F296" s="82"/>
      <c r="G296" s="82"/>
      <c r="H296" s="155"/>
    </row>
    <row r="297" spans="1:8" ht="13">
      <c r="A297" s="168" t="s">
        <v>434</v>
      </c>
      <c r="B297" s="82"/>
      <c r="C297" s="82"/>
      <c r="D297" s="82"/>
      <c r="E297" s="82"/>
      <c r="F297" s="82"/>
      <c r="G297" s="82"/>
      <c r="H297" s="155"/>
    </row>
    <row r="298" spans="1:8" ht="16">
      <c r="A298" s="38"/>
      <c r="B298" s="38"/>
      <c r="C298" s="38"/>
      <c r="D298" s="38"/>
      <c r="E298" s="38"/>
      <c r="F298" s="38"/>
      <c r="G298" s="38"/>
      <c r="H298" s="39"/>
    </row>
    <row r="299" spans="1:8" ht="16">
      <c r="A299" s="38"/>
      <c r="B299" s="38"/>
      <c r="C299" s="38"/>
      <c r="D299" s="156" t="s">
        <v>435</v>
      </c>
      <c r="E299" s="100"/>
      <c r="F299" s="38"/>
      <c r="G299" s="38"/>
      <c r="H299" s="39"/>
    </row>
    <row r="300" spans="1:8" ht="16">
      <c r="A300" s="38"/>
      <c r="B300" s="38"/>
      <c r="C300" s="38"/>
      <c r="D300" s="153" t="s">
        <v>436</v>
      </c>
      <c r="E300" s="100"/>
      <c r="F300" s="38"/>
      <c r="G300" s="38"/>
      <c r="H300" s="39"/>
    </row>
    <row r="301" spans="1:8" ht="16">
      <c r="A301" s="38"/>
      <c r="B301" s="38"/>
      <c r="C301" s="38"/>
      <c r="D301" s="153" t="s">
        <v>437</v>
      </c>
      <c r="E301" s="100"/>
      <c r="F301" s="38"/>
      <c r="G301" s="38"/>
      <c r="H301" s="39"/>
    </row>
    <row r="302" spans="1:8" ht="16">
      <c r="A302" s="38"/>
      <c r="B302" s="38"/>
      <c r="C302" s="38"/>
      <c r="D302" s="169" t="s">
        <v>438</v>
      </c>
      <c r="E302" s="100"/>
      <c r="F302" s="38"/>
      <c r="G302" s="38"/>
      <c r="H302" s="39"/>
    </row>
    <row r="303" spans="1:8" ht="16">
      <c r="A303" s="38"/>
      <c r="B303" s="38"/>
      <c r="C303" s="38"/>
      <c r="D303" s="38"/>
      <c r="E303" s="38"/>
      <c r="F303" s="38"/>
      <c r="G303" s="38"/>
      <c r="H303" s="39"/>
    </row>
    <row r="304" spans="1:8" ht="13">
      <c r="A304" s="163" t="s">
        <v>439</v>
      </c>
      <c r="B304" s="82"/>
      <c r="C304" s="82"/>
      <c r="D304" s="82"/>
      <c r="E304" s="82"/>
      <c r="F304" s="82"/>
      <c r="G304" s="82"/>
      <c r="H304" s="155"/>
    </row>
    <row r="305" spans="1:8" ht="16">
      <c r="A305" s="55"/>
      <c r="B305" s="38"/>
      <c r="C305" s="38"/>
      <c r="D305" s="38"/>
      <c r="E305" s="38"/>
      <c r="F305" s="38"/>
      <c r="G305" s="38"/>
      <c r="H305" s="39"/>
    </row>
    <row r="306" spans="1:8" ht="16">
      <c r="A306" s="38"/>
      <c r="B306" s="38"/>
      <c r="C306" s="157" t="s">
        <v>440</v>
      </c>
      <c r="D306" s="100"/>
      <c r="E306" s="157" t="s">
        <v>358</v>
      </c>
      <c r="F306" s="100"/>
      <c r="G306" s="38"/>
      <c r="H306" s="39"/>
    </row>
    <row r="307" spans="1:8" ht="16">
      <c r="A307" s="38"/>
      <c r="B307" s="38"/>
      <c r="C307" s="153" t="s">
        <v>441</v>
      </c>
      <c r="D307" s="100"/>
      <c r="E307" s="170">
        <v>3426.97</v>
      </c>
      <c r="F307" s="100"/>
      <c r="G307" s="38"/>
      <c r="H307" s="39"/>
    </row>
    <row r="308" spans="1:8" ht="16">
      <c r="A308" s="38"/>
      <c r="B308" s="38"/>
      <c r="C308" s="153" t="s">
        <v>442</v>
      </c>
      <c r="D308" s="100"/>
      <c r="E308" s="170">
        <v>39051.870000000003</v>
      </c>
      <c r="F308" s="100"/>
      <c r="G308" s="38"/>
      <c r="H308" s="39"/>
    </row>
    <row r="309" spans="1:8" ht="16">
      <c r="A309" s="38"/>
      <c r="B309" s="38"/>
      <c r="C309" s="153" t="s">
        <v>443</v>
      </c>
      <c r="D309" s="100"/>
      <c r="E309" s="159">
        <f>E307/E308</f>
        <v>8.775431240552628E-2</v>
      </c>
      <c r="F309" s="100"/>
      <c r="G309" s="38"/>
      <c r="H309" s="39"/>
    </row>
    <row r="310" spans="1:8" ht="16">
      <c r="A310" s="38"/>
      <c r="B310" s="38"/>
      <c r="C310" s="38"/>
      <c r="D310" s="38"/>
      <c r="E310" s="38"/>
      <c r="F310" s="38"/>
      <c r="G310" s="38"/>
      <c r="H310" s="39"/>
    </row>
    <row r="311" spans="1:8" ht="16">
      <c r="A311" s="38"/>
      <c r="B311" s="38"/>
      <c r="C311" s="38"/>
      <c r="D311" s="38"/>
      <c r="E311" s="38"/>
      <c r="F311" s="38"/>
      <c r="G311" s="38"/>
      <c r="H311" s="39"/>
    </row>
    <row r="312" spans="1:8" ht="16">
      <c r="A312" s="38"/>
      <c r="B312" s="38"/>
      <c r="C312" s="171" t="s">
        <v>444</v>
      </c>
      <c r="D312" s="88"/>
      <c r="E312" s="88"/>
      <c r="F312" s="100"/>
      <c r="G312" s="38"/>
      <c r="H312" s="39"/>
    </row>
    <row r="313" spans="1:8" ht="16">
      <c r="A313" s="38"/>
      <c r="B313" s="38"/>
      <c r="C313" s="172" t="s">
        <v>445</v>
      </c>
      <c r="D313" s="88"/>
      <c r="E313" s="88"/>
      <c r="F313" s="100"/>
      <c r="G313" s="38"/>
      <c r="H313" s="39"/>
    </row>
    <row r="314" spans="1:8" ht="16">
      <c r="A314" s="38"/>
      <c r="B314" s="38"/>
      <c r="C314" s="172" t="s">
        <v>446</v>
      </c>
      <c r="D314" s="88"/>
      <c r="E314" s="88"/>
      <c r="F314" s="100"/>
      <c r="G314" s="38"/>
      <c r="H314" s="39"/>
    </row>
    <row r="315" spans="1:8" ht="16">
      <c r="A315" s="38"/>
      <c r="B315" s="38"/>
      <c r="C315" s="173" t="s">
        <v>447</v>
      </c>
      <c r="D315" s="88"/>
      <c r="E315" s="88"/>
      <c r="F315" s="100"/>
      <c r="G315" s="38"/>
      <c r="H315" s="39"/>
    </row>
    <row r="316" spans="1:8" ht="16">
      <c r="A316" s="38"/>
      <c r="B316" s="38"/>
      <c r="C316" s="38"/>
      <c r="D316" s="38"/>
      <c r="E316" s="38"/>
      <c r="F316" s="38"/>
      <c r="G316" s="38"/>
      <c r="H316" s="39"/>
    </row>
    <row r="317" spans="1:8" ht="13">
      <c r="A317" s="163" t="s">
        <v>448</v>
      </c>
      <c r="B317" s="82"/>
      <c r="C317" s="82"/>
      <c r="D317" s="82"/>
      <c r="E317" s="82"/>
      <c r="F317" s="82"/>
      <c r="G317" s="82"/>
      <c r="H317" s="155"/>
    </row>
    <row r="318" spans="1:8" ht="16">
      <c r="A318" s="55"/>
      <c r="B318" s="38"/>
      <c r="C318" s="38"/>
      <c r="D318" s="38"/>
      <c r="E318" s="38"/>
      <c r="F318" s="38"/>
      <c r="G318" s="38"/>
      <c r="H318" s="39"/>
    </row>
    <row r="319" spans="1:8" ht="51">
      <c r="A319" s="55"/>
      <c r="B319" s="38"/>
      <c r="C319" s="56" t="s">
        <v>449</v>
      </c>
      <c r="D319" s="56">
        <v>7.88</v>
      </c>
      <c r="E319" s="56" t="s">
        <v>450</v>
      </c>
      <c r="F319" s="56">
        <v>2178.277</v>
      </c>
      <c r="G319" s="38"/>
      <c r="H319" s="39"/>
    </row>
    <row r="320" spans="1:8" ht="16">
      <c r="A320" s="55"/>
      <c r="B320" s="38"/>
      <c r="C320" s="38"/>
      <c r="D320" s="38"/>
      <c r="E320" s="38"/>
      <c r="F320" s="38"/>
      <c r="G320" s="38"/>
      <c r="H320" s="39"/>
    </row>
    <row r="321" spans="1:8" ht="17">
      <c r="A321" s="38"/>
      <c r="B321" s="38"/>
      <c r="C321" s="157" t="s">
        <v>277</v>
      </c>
      <c r="D321" s="100"/>
      <c r="E321" s="40" t="s">
        <v>358</v>
      </c>
      <c r="F321" s="40" t="s">
        <v>451</v>
      </c>
      <c r="G321" s="38"/>
      <c r="H321" s="39"/>
    </row>
    <row r="322" spans="1:8" ht="16">
      <c r="A322" s="38"/>
      <c r="B322" s="38"/>
      <c r="C322" s="153" t="s">
        <v>452</v>
      </c>
      <c r="D322" s="100"/>
      <c r="E322" s="54">
        <f>D319*F319</f>
        <v>17164.822759999999</v>
      </c>
      <c r="F322" s="45">
        <f>E322/E324</f>
        <v>0.30533249510168514</v>
      </c>
      <c r="G322" s="38"/>
      <c r="H322" s="39"/>
    </row>
    <row r="323" spans="1:8" ht="16">
      <c r="A323" s="38"/>
      <c r="B323" s="38"/>
      <c r="C323" s="153" t="s">
        <v>453</v>
      </c>
      <c r="D323" s="100"/>
      <c r="E323" s="54">
        <v>39052</v>
      </c>
      <c r="F323" s="45">
        <f>E323/E324</f>
        <v>0.69466750489831497</v>
      </c>
      <c r="G323" s="38"/>
      <c r="H323" s="39"/>
    </row>
    <row r="324" spans="1:8" ht="16">
      <c r="A324" s="38"/>
      <c r="B324" s="38"/>
      <c r="C324" s="153" t="s">
        <v>454</v>
      </c>
      <c r="D324" s="100"/>
      <c r="E324" s="54">
        <f>SUM(E322:E323)</f>
        <v>56216.822759999995</v>
      </c>
      <c r="F324" s="57">
        <f>F322+F323</f>
        <v>1</v>
      </c>
      <c r="G324" s="38"/>
      <c r="H324" s="39"/>
    </row>
    <row r="325" spans="1:8" ht="16">
      <c r="A325" s="38"/>
      <c r="B325" s="38"/>
      <c r="C325" s="38"/>
      <c r="D325" s="38"/>
      <c r="E325" s="38"/>
      <c r="F325" s="38"/>
      <c r="G325" s="38"/>
      <c r="H325" s="39"/>
    </row>
    <row r="326" spans="1:8" ht="13">
      <c r="A326" s="174" t="s">
        <v>455</v>
      </c>
      <c r="B326" s="82"/>
      <c r="C326" s="82"/>
      <c r="D326" s="82"/>
      <c r="E326" s="82"/>
      <c r="F326" s="82"/>
      <c r="G326" s="82"/>
      <c r="H326" s="155"/>
    </row>
    <row r="327" spans="1:8" ht="16">
      <c r="A327" s="50"/>
      <c r="B327" s="38"/>
      <c r="C327" s="38"/>
      <c r="D327" s="38"/>
      <c r="E327" s="38"/>
      <c r="F327" s="38"/>
      <c r="G327" s="38"/>
      <c r="H327" s="39"/>
    </row>
    <row r="328" spans="1:8" ht="13">
      <c r="A328" s="166" t="s">
        <v>456</v>
      </c>
      <c r="B328" s="82"/>
      <c r="C328" s="82"/>
      <c r="D328" s="82"/>
      <c r="E328" s="82"/>
      <c r="F328" s="82"/>
      <c r="G328" s="82"/>
      <c r="H328" s="155"/>
    </row>
    <row r="329" spans="1:8" ht="16">
      <c r="A329" s="161"/>
      <c r="B329" s="82"/>
      <c r="C329" s="82"/>
      <c r="D329" s="82"/>
      <c r="E329" s="82"/>
      <c r="F329" s="82"/>
      <c r="G329" s="82"/>
      <c r="H329" s="155"/>
    </row>
    <row r="330" spans="1:8" ht="17">
      <c r="A330" s="37"/>
      <c r="B330" s="37"/>
      <c r="C330" s="43"/>
      <c r="D330" s="43" t="s">
        <v>457</v>
      </c>
      <c r="E330" s="43" t="s">
        <v>458</v>
      </c>
      <c r="F330" s="43" t="s">
        <v>459</v>
      </c>
      <c r="G330" s="37"/>
      <c r="H330" s="58"/>
    </row>
    <row r="331" spans="1:8" ht="17">
      <c r="A331" s="37"/>
      <c r="B331" s="37"/>
      <c r="C331" s="43" t="s">
        <v>342</v>
      </c>
      <c r="D331" s="42">
        <f>F323</f>
        <v>0.69466750489831497</v>
      </c>
      <c r="E331" s="43">
        <v>8.7799999999999994</v>
      </c>
      <c r="F331" s="43">
        <f t="shared" ref="F331:F332" si="15">ROUND(E331*D331,5)</f>
        <v>6.0991799999999996</v>
      </c>
      <c r="G331" s="37"/>
      <c r="H331" s="58"/>
    </row>
    <row r="332" spans="1:8" ht="17">
      <c r="A332" s="37"/>
      <c r="B332" s="37"/>
      <c r="C332" s="43" t="s">
        <v>337</v>
      </c>
      <c r="D332" s="42">
        <f>F322</f>
        <v>0.30533249510168514</v>
      </c>
      <c r="E332" s="43">
        <v>15.62</v>
      </c>
      <c r="F332" s="43">
        <f t="shared" si="15"/>
        <v>4.7692899999999998</v>
      </c>
      <c r="G332" s="37"/>
      <c r="H332" s="58"/>
    </row>
    <row r="333" spans="1:8" ht="17">
      <c r="A333" s="37"/>
      <c r="B333" s="37"/>
      <c r="C333" s="43" t="s">
        <v>460</v>
      </c>
      <c r="D333" s="153"/>
      <c r="E333" s="100"/>
      <c r="F333" s="43">
        <f>SUM(F331:F332)</f>
        <v>10.868469999999999</v>
      </c>
      <c r="G333" s="37"/>
      <c r="H333" s="58"/>
    </row>
    <row r="334" spans="1:8" ht="16">
      <c r="A334" s="37"/>
      <c r="B334" s="37"/>
      <c r="C334" s="37"/>
      <c r="D334" s="37"/>
      <c r="E334" s="37"/>
      <c r="F334" s="37"/>
      <c r="G334" s="37"/>
      <c r="H334" s="58"/>
    </row>
    <row r="335" spans="1:8" ht="13">
      <c r="A335" s="165" t="s">
        <v>461</v>
      </c>
      <c r="B335" s="82"/>
      <c r="C335" s="82"/>
      <c r="D335" s="82"/>
      <c r="E335" s="82"/>
      <c r="F335" s="82"/>
      <c r="G335" s="82"/>
      <c r="H335" s="155"/>
    </row>
    <row r="336" spans="1:8" ht="13">
      <c r="A336" s="165" t="s">
        <v>462</v>
      </c>
      <c r="B336" s="82"/>
      <c r="C336" s="82"/>
      <c r="D336" s="82"/>
      <c r="E336" s="82"/>
      <c r="F336" s="82"/>
      <c r="G336" s="82"/>
      <c r="H336" s="155"/>
    </row>
    <row r="337" spans="1:8" ht="13">
      <c r="A337" s="164" t="s">
        <v>463</v>
      </c>
      <c r="B337" s="82"/>
      <c r="C337" s="82"/>
      <c r="D337" s="82"/>
      <c r="E337" s="82"/>
      <c r="F337" s="82"/>
      <c r="G337" s="82"/>
      <c r="H337" s="155"/>
    </row>
    <row r="338" spans="1:8" ht="16">
      <c r="A338" s="161"/>
      <c r="B338" s="82"/>
      <c r="C338" s="82"/>
      <c r="D338" s="82"/>
      <c r="E338" s="82"/>
      <c r="F338" s="82"/>
      <c r="G338" s="82"/>
      <c r="H338" s="155"/>
    </row>
    <row r="339" spans="1:8" ht="13">
      <c r="A339" s="168" t="s">
        <v>464</v>
      </c>
      <c r="B339" s="82"/>
      <c r="C339" s="82"/>
      <c r="D339" s="82"/>
      <c r="E339" s="82"/>
      <c r="F339" s="82"/>
      <c r="G339" s="82"/>
      <c r="H339" s="155"/>
    </row>
    <row r="340" spans="1:8" ht="13">
      <c r="A340" s="168" t="s">
        <v>465</v>
      </c>
      <c r="B340" s="82"/>
      <c r="C340" s="82"/>
      <c r="D340" s="82"/>
      <c r="E340" s="82"/>
      <c r="F340" s="82"/>
      <c r="G340" s="82"/>
      <c r="H340" s="155"/>
    </row>
    <row r="341" spans="1:8" ht="13">
      <c r="A341" s="167" t="s">
        <v>466</v>
      </c>
      <c r="B341" s="82"/>
      <c r="C341" s="82"/>
      <c r="D341" s="82"/>
      <c r="E341" s="82"/>
      <c r="F341" s="82"/>
      <c r="G341" s="82"/>
      <c r="H341" s="155"/>
    </row>
    <row r="342" spans="1:8" ht="13">
      <c r="A342" s="168" t="s">
        <v>467</v>
      </c>
      <c r="B342" s="82"/>
      <c r="C342" s="82"/>
      <c r="D342" s="82"/>
      <c r="E342" s="82"/>
      <c r="F342" s="82"/>
      <c r="G342" s="82"/>
      <c r="H342" s="155"/>
    </row>
    <row r="343" spans="1:8" ht="16">
      <c r="A343" s="168"/>
      <c r="B343" s="82"/>
      <c r="C343" s="82"/>
      <c r="D343" s="82"/>
      <c r="E343" s="82"/>
      <c r="F343" s="82"/>
      <c r="G343" s="82"/>
      <c r="H343" s="155"/>
    </row>
    <row r="344" spans="1:8" ht="13">
      <c r="A344" s="189" t="s">
        <v>468</v>
      </c>
      <c r="B344" s="82"/>
      <c r="C344" s="82"/>
      <c r="D344" s="82"/>
      <c r="E344" s="82"/>
      <c r="F344" s="82"/>
      <c r="G344" s="82"/>
      <c r="H344" s="155"/>
    </row>
    <row r="345" spans="1:8" ht="13">
      <c r="A345" s="82"/>
      <c r="B345" s="82"/>
      <c r="C345" s="82"/>
      <c r="D345" s="82"/>
      <c r="E345" s="82"/>
      <c r="F345" s="82"/>
      <c r="G345" s="82"/>
      <c r="H345" s="155"/>
    </row>
    <row r="346" spans="1:8" ht="13">
      <c r="A346" s="190" t="s">
        <v>469</v>
      </c>
      <c r="B346" s="82"/>
      <c r="C346" s="82"/>
      <c r="D346" s="82"/>
      <c r="E346" s="82"/>
      <c r="F346" s="82"/>
      <c r="G346" s="82"/>
      <c r="H346" s="155"/>
    </row>
    <row r="347" spans="1:8" ht="13">
      <c r="A347" s="189" t="s">
        <v>470</v>
      </c>
      <c r="B347" s="82"/>
      <c r="C347" s="82"/>
      <c r="D347" s="82"/>
      <c r="E347" s="82"/>
      <c r="F347" s="82"/>
      <c r="G347" s="82"/>
      <c r="H347" s="155"/>
    </row>
    <row r="348" spans="1:8" ht="16">
      <c r="A348" s="191"/>
      <c r="B348" s="82"/>
      <c r="C348" s="82"/>
      <c r="D348" s="82"/>
      <c r="E348" s="82"/>
      <c r="F348" s="82"/>
      <c r="G348" s="82"/>
      <c r="H348" s="155"/>
    </row>
    <row r="349" spans="1:8" ht="13">
      <c r="A349" s="192" t="s">
        <v>471</v>
      </c>
      <c r="B349" s="82"/>
      <c r="C349" s="82"/>
      <c r="D349" s="82"/>
      <c r="E349" s="82"/>
      <c r="F349" s="82"/>
      <c r="G349" s="82"/>
      <c r="H349" s="155"/>
    </row>
    <row r="350" spans="1:8" ht="13">
      <c r="A350" s="191" t="s">
        <v>472</v>
      </c>
      <c r="B350" s="82"/>
      <c r="C350" s="82"/>
      <c r="D350" s="82"/>
      <c r="E350" s="82"/>
      <c r="F350" s="82"/>
      <c r="G350" s="82"/>
      <c r="H350" s="155"/>
    </row>
    <row r="351" spans="1:8" ht="13">
      <c r="A351" s="191" t="s">
        <v>473</v>
      </c>
      <c r="B351" s="82"/>
      <c r="C351" s="82"/>
      <c r="D351" s="82"/>
      <c r="E351" s="82"/>
      <c r="F351" s="82"/>
      <c r="G351" s="82"/>
      <c r="H351" s="155"/>
    </row>
    <row r="352" spans="1:8" ht="16">
      <c r="A352" s="191"/>
      <c r="B352" s="82"/>
      <c r="C352" s="82"/>
      <c r="D352" s="82"/>
      <c r="E352" s="82"/>
      <c r="F352" s="82"/>
      <c r="G352" s="82"/>
      <c r="H352" s="155"/>
    </row>
    <row r="353" spans="1:8" ht="13">
      <c r="A353" s="192" t="s">
        <v>474</v>
      </c>
      <c r="B353" s="82"/>
      <c r="C353" s="82"/>
      <c r="D353" s="82"/>
      <c r="E353" s="82"/>
      <c r="F353" s="82"/>
      <c r="G353" s="82"/>
      <c r="H353" s="155"/>
    </row>
    <row r="354" spans="1:8" ht="13">
      <c r="A354" s="191" t="s">
        <v>472</v>
      </c>
      <c r="B354" s="82"/>
      <c r="C354" s="82"/>
      <c r="D354" s="82"/>
      <c r="E354" s="82"/>
      <c r="F354" s="82"/>
      <c r="G354" s="82"/>
      <c r="H354" s="155"/>
    </row>
    <row r="355" spans="1:8" ht="13">
      <c r="A355" s="191" t="s">
        <v>475</v>
      </c>
      <c r="B355" s="82"/>
      <c r="C355" s="82"/>
      <c r="D355" s="82"/>
      <c r="E355" s="82"/>
      <c r="F355" s="82"/>
      <c r="G355" s="82"/>
      <c r="H355" s="155"/>
    </row>
    <row r="356" spans="1:8" ht="16">
      <c r="A356" s="191"/>
      <c r="B356" s="82"/>
      <c r="C356" s="82"/>
      <c r="D356" s="82"/>
      <c r="E356" s="82"/>
      <c r="F356" s="82"/>
      <c r="G356" s="82"/>
      <c r="H356" s="155"/>
    </row>
    <row r="357" spans="1:8" ht="13">
      <c r="A357" s="192" t="s">
        <v>476</v>
      </c>
      <c r="B357" s="82"/>
      <c r="C357" s="82"/>
      <c r="D357" s="82"/>
      <c r="E357" s="82"/>
      <c r="F357" s="82"/>
      <c r="G357" s="82"/>
      <c r="H357" s="155"/>
    </row>
    <row r="358" spans="1:8" ht="13">
      <c r="A358" s="191" t="s">
        <v>477</v>
      </c>
      <c r="B358" s="82"/>
      <c r="C358" s="82"/>
      <c r="D358" s="82"/>
      <c r="E358" s="82"/>
      <c r="F358" s="82"/>
      <c r="G358" s="82"/>
      <c r="H358" s="155"/>
    </row>
    <row r="359" spans="1:8" ht="13">
      <c r="A359" s="192" t="s">
        <v>478</v>
      </c>
      <c r="B359" s="82"/>
      <c r="C359" s="82"/>
      <c r="D359" s="82"/>
      <c r="E359" s="82"/>
      <c r="F359" s="82"/>
      <c r="G359" s="82"/>
      <c r="H359" s="155"/>
    </row>
    <row r="360" spans="1:8" ht="13">
      <c r="A360" s="191" t="s">
        <v>479</v>
      </c>
      <c r="B360" s="82"/>
      <c r="C360" s="82"/>
      <c r="D360" s="82"/>
      <c r="E360" s="82"/>
      <c r="F360" s="82"/>
      <c r="G360" s="82"/>
      <c r="H360" s="155"/>
    </row>
    <row r="361" spans="1:8" ht="13">
      <c r="A361" s="191" t="s">
        <v>480</v>
      </c>
      <c r="B361" s="82"/>
      <c r="C361" s="82"/>
      <c r="D361" s="82"/>
      <c r="E361" s="82"/>
      <c r="F361" s="82"/>
      <c r="G361" s="82"/>
      <c r="H361" s="155"/>
    </row>
    <row r="362" spans="1:8" ht="13">
      <c r="A362" s="191" t="s">
        <v>481</v>
      </c>
      <c r="B362" s="82"/>
      <c r="C362" s="82"/>
      <c r="D362" s="82"/>
      <c r="E362" s="82"/>
      <c r="F362" s="82"/>
      <c r="G362" s="82"/>
      <c r="H362" s="155"/>
    </row>
    <row r="363" spans="1:8" ht="16">
      <c r="A363" s="191"/>
      <c r="B363" s="82"/>
      <c r="C363" s="82"/>
      <c r="D363" s="82"/>
      <c r="E363" s="82"/>
      <c r="F363" s="82"/>
      <c r="G363" s="82"/>
      <c r="H363" s="155"/>
    </row>
    <row r="364" spans="1:8" ht="13">
      <c r="A364" s="189" t="s">
        <v>482</v>
      </c>
      <c r="B364" s="82"/>
      <c r="C364" s="82"/>
      <c r="D364" s="82"/>
      <c r="E364" s="82"/>
      <c r="F364" s="82"/>
      <c r="G364" s="82"/>
      <c r="H364" s="155"/>
    </row>
    <row r="365" spans="1:8" ht="16">
      <c r="A365" s="191"/>
      <c r="B365" s="82"/>
      <c r="C365" s="82"/>
      <c r="D365" s="82"/>
      <c r="E365" s="82"/>
      <c r="F365" s="82"/>
      <c r="G365" s="82"/>
      <c r="H365" s="155"/>
    </row>
    <row r="366" spans="1:8" ht="17">
      <c r="A366" s="60"/>
      <c r="B366" s="35" t="s">
        <v>483</v>
      </c>
      <c r="C366" s="35" t="s">
        <v>484</v>
      </c>
      <c r="D366" s="35" t="s">
        <v>485</v>
      </c>
      <c r="E366" s="35" t="s">
        <v>486</v>
      </c>
      <c r="F366" s="35" t="s">
        <v>487</v>
      </c>
      <c r="G366" s="35" t="s">
        <v>488</v>
      </c>
      <c r="H366" s="60"/>
    </row>
    <row r="367" spans="1:8" ht="17">
      <c r="A367" s="60"/>
      <c r="B367" s="61" t="s">
        <v>489</v>
      </c>
      <c r="C367" s="62">
        <v>2736</v>
      </c>
      <c r="D367" s="62">
        <v>1850</v>
      </c>
      <c r="E367" s="62">
        <v>6000</v>
      </c>
      <c r="F367" s="61">
        <v>655</v>
      </c>
      <c r="G367" s="62">
        <f t="shared" ref="G367:G371" si="16">C367+D367-E367-F367</f>
        <v>-2069</v>
      </c>
      <c r="H367" s="60"/>
    </row>
    <row r="368" spans="1:8" ht="17">
      <c r="A368" s="60"/>
      <c r="B368" s="61" t="s">
        <v>490</v>
      </c>
      <c r="C368" s="62">
        <v>3705</v>
      </c>
      <c r="D368" s="62">
        <v>1900</v>
      </c>
      <c r="E368" s="62">
        <v>4000</v>
      </c>
      <c r="F368" s="61">
        <v>611</v>
      </c>
      <c r="G368" s="62">
        <f t="shared" si="16"/>
        <v>994</v>
      </c>
      <c r="H368" s="60"/>
    </row>
    <row r="369" spans="1:8" ht="17">
      <c r="A369" s="60"/>
      <c r="B369" s="61" t="s">
        <v>491</v>
      </c>
      <c r="C369" s="62">
        <v>4406</v>
      </c>
      <c r="D369" s="62">
        <v>1950</v>
      </c>
      <c r="E369" s="62">
        <v>4000</v>
      </c>
      <c r="F369" s="61">
        <v>538</v>
      </c>
      <c r="G369" s="62">
        <f t="shared" si="16"/>
        <v>1818</v>
      </c>
      <c r="H369" s="60"/>
    </row>
    <row r="370" spans="1:8" ht="17">
      <c r="A370" s="60"/>
      <c r="B370" s="61" t="s">
        <v>492</v>
      </c>
      <c r="C370" s="62">
        <v>5125</v>
      </c>
      <c r="D370" s="62">
        <v>2000</v>
      </c>
      <c r="E370" s="62">
        <v>4200</v>
      </c>
      <c r="F370" s="61">
        <v>509</v>
      </c>
      <c r="G370" s="62">
        <f t="shared" si="16"/>
        <v>2416</v>
      </c>
      <c r="H370" s="60"/>
    </row>
    <row r="371" spans="1:8" ht="17">
      <c r="A371" s="60"/>
      <c r="B371" s="61" t="s">
        <v>493</v>
      </c>
      <c r="C371" s="62">
        <v>5503</v>
      </c>
      <c r="D371" s="62">
        <v>2050</v>
      </c>
      <c r="E371" s="62">
        <v>4500</v>
      </c>
      <c r="F371" s="61">
        <v>466</v>
      </c>
      <c r="G371" s="62">
        <f t="shared" si="16"/>
        <v>2587</v>
      </c>
      <c r="H371" s="60"/>
    </row>
    <row r="372" spans="1:8" ht="13">
      <c r="A372" s="193" t="s">
        <v>494</v>
      </c>
      <c r="B372" s="82"/>
      <c r="C372" s="82"/>
      <c r="D372" s="82"/>
      <c r="E372" s="82"/>
      <c r="F372" s="82"/>
      <c r="G372" s="82"/>
      <c r="H372" s="155"/>
    </row>
    <row r="373" spans="1:8" ht="13">
      <c r="A373" s="82"/>
      <c r="B373" s="82"/>
      <c r="C373" s="82"/>
      <c r="D373" s="82"/>
      <c r="E373" s="82"/>
      <c r="F373" s="82"/>
      <c r="G373" s="82"/>
      <c r="H373" s="155"/>
    </row>
    <row r="374" spans="1:8" ht="13">
      <c r="A374" s="82"/>
      <c r="B374" s="82"/>
      <c r="C374" s="82"/>
      <c r="D374" s="82"/>
      <c r="E374" s="82"/>
      <c r="F374" s="82"/>
      <c r="G374" s="82"/>
      <c r="H374" s="155"/>
    </row>
    <row r="375" spans="1:8" ht="13">
      <c r="A375" s="82"/>
      <c r="B375" s="82"/>
      <c r="C375" s="82"/>
      <c r="D375" s="82"/>
      <c r="E375" s="82"/>
      <c r="F375" s="82"/>
      <c r="G375" s="82"/>
      <c r="H375" s="155"/>
    </row>
    <row r="376" spans="1:8" ht="13">
      <c r="A376" s="82"/>
      <c r="B376" s="82"/>
      <c r="C376" s="82"/>
      <c r="D376" s="82"/>
      <c r="E376" s="82"/>
      <c r="F376" s="82"/>
      <c r="G376" s="82"/>
      <c r="H376" s="155"/>
    </row>
    <row r="377" spans="1:8" ht="13">
      <c r="A377" s="82"/>
      <c r="B377" s="82"/>
      <c r="C377" s="82"/>
      <c r="D377" s="82"/>
      <c r="E377" s="82"/>
      <c r="F377" s="82"/>
      <c r="G377" s="82"/>
      <c r="H377" s="155"/>
    </row>
    <row r="378" spans="1:8" ht="13">
      <c r="A378" s="82"/>
      <c r="B378" s="82"/>
      <c r="C378" s="82"/>
      <c r="D378" s="82"/>
      <c r="E378" s="82"/>
      <c r="F378" s="82"/>
      <c r="G378" s="82"/>
      <c r="H378" s="155"/>
    </row>
    <row r="379" spans="1:8" ht="13">
      <c r="A379" s="82"/>
      <c r="B379" s="82"/>
      <c r="C379" s="82"/>
      <c r="D379" s="82"/>
      <c r="E379" s="82"/>
      <c r="F379" s="82"/>
      <c r="G379" s="82"/>
      <c r="H379" s="155"/>
    </row>
    <row r="380" spans="1:8" ht="13">
      <c r="A380" s="82"/>
      <c r="B380" s="82"/>
      <c r="C380" s="82"/>
      <c r="D380" s="82"/>
      <c r="E380" s="82"/>
      <c r="F380" s="82"/>
      <c r="G380" s="82"/>
      <c r="H380" s="155"/>
    </row>
    <row r="381" spans="1:8" ht="13">
      <c r="A381" s="82"/>
      <c r="B381" s="82"/>
      <c r="C381" s="82"/>
      <c r="D381" s="82"/>
      <c r="E381" s="82"/>
      <c r="F381" s="82"/>
      <c r="G381" s="82"/>
      <c r="H381" s="155"/>
    </row>
    <row r="382" spans="1:8" ht="13">
      <c r="A382" s="82"/>
      <c r="B382" s="82"/>
      <c r="C382" s="82"/>
      <c r="D382" s="82"/>
      <c r="E382" s="82"/>
      <c r="F382" s="82"/>
      <c r="G382" s="82"/>
      <c r="H382" s="155"/>
    </row>
    <row r="383" spans="1:8" ht="13">
      <c r="A383" s="82"/>
      <c r="B383" s="82"/>
      <c r="C383" s="82"/>
      <c r="D383" s="82"/>
      <c r="E383" s="82"/>
      <c r="F383" s="82"/>
      <c r="G383" s="82"/>
      <c r="H383" s="155"/>
    </row>
    <row r="384" spans="1:8" ht="13">
      <c r="A384" s="82"/>
      <c r="B384" s="82"/>
      <c r="C384" s="82"/>
      <c r="D384" s="82"/>
      <c r="E384" s="82"/>
      <c r="F384" s="82"/>
      <c r="G384" s="82"/>
      <c r="H384" s="155"/>
    </row>
    <row r="385" spans="1:8" ht="13">
      <c r="A385" s="82"/>
      <c r="B385" s="82"/>
      <c r="C385" s="82"/>
      <c r="D385" s="82"/>
      <c r="E385" s="82"/>
      <c r="F385" s="82"/>
      <c r="G385" s="82"/>
      <c r="H385" s="155"/>
    </row>
    <row r="386" spans="1:8" ht="16">
      <c r="A386" s="59"/>
      <c r="B386" s="59"/>
      <c r="C386" s="59"/>
      <c r="D386" s="59"/>
      <c r="E386" s="59"/>
      <c r="F386" s="59"/>
      <c r="G386" s="59"/>
      <c r="H386" s="63"/>
    </row>
    <row r="387" spans="1:8" ht="13">
      <c r="A387" s="189" t="s">
        <v>495</v>
      </c>
      <c r="B387" s="82"/>
      <c r="C387" s="82"/>
      <c r="D387" s="82"/>
      <c r="E387" s="82"/>
      <c r="F387" s="82"/>
      <c r="G387" s="82"/>
      <c r="H387" s="155"/>
    </row>
    <row r="388" spans="1:8" ht="16">
      <c r="A388" s="191"/>
      <c r="B388" s="82"/>
      <c r="C388" s="82"/>
      <c r="D388" s="82"/>
      <c r="E388" s="82"/>
      <c r="F388" s="82"/>
      <c r="G388" s="82"/>
      <c r="H388" s="155"/>
    </row>
    <row r="389" spans="1:8" ht="13">
      <c r="A389" s="195" t="s">
        <v>496</v>
      </c>
      <c r="B389" s="196"/>
      <c r="C389" s="196"/>
      <c r="D389" s="196"/>
      <c r="E389" s="196"/>
      <c r="F389" s="196"/>
      <c r="G389" s="196"/>
      <c r="H389" s="197"/>
    </row>
    <row r="390" spans="1:8" ht="13">
      <c r="A390" s="198" t="s">
        <v>483</v>
      </c>
      <c r="B390" s="100"/>
      <c r="C390" s="198" t="s">
        <v>488</v>
      </c>
      <c r="D390" s="100"/>
      <c r="E390" s="198" t="s">
        <v>497</v>
      </c>
      <c r="F390" s="100"/>
      <c r="G390" s="198" t="s">
        <v>498</v>
      </c>
      <c r="H390" s="100"/>
    </row>
    <row r="391" spans="1:8" ht="13">
      <c r="A391" s="194" t="s">
        <v>489</v>
      </c>
      <c r="B391" s="100"/>
      <c r="C391" s="199">
        <v>-1069</v>
      </c>
      <c r="D391" s="100"/>
      <c r="E391" s="194">
        <f>1/(1.1086^1)</f>
        <v>0.90203860725239038</v>
      </c>
      <c r="F391" s="100"/>
      <c r="G391" s="200">
        <f>ROUND(C391*E391,5)</f>
        <v>-964.27927</v>
      </c>
      <c r="H391" s="100"/>
    </row>
    <row r="392" spans="1:8" ht="13">
      <c r="A392" s="194" t="s">
        <v>490</v>
      </c>
      <c r="B392" s="100"/>
      <c r="C392" s="199">
        <v>1994</v>
      </c>
      <c r="D392" s="100"/>
      <c r="E392" s="194">
        <f>1/(1.1086^2)</f>
        <v>0.8136736489738321</v>
      </c>
      <c r="F392" s="100"/>
      <c r="G392" s="200">
        <f t="shared" ref="G392:G395" si="17">C392*E392</f>
        <v>1622.4652560538211</v>
      </c>
      <c r="H392" s="100"/>
    </row>
    <row r="393" spans="1:8" ht="13">
      <c r="A393" s="194" t="s">
        <v>491</v>
      </c>
      <c r="B393" s="100"/>
      <c r="C393" s="199">
        <v>2818</v>
      </c>
      <c r="D393" s="100"/>
      <c r="E393" s="194">
        <f>1/(1.1086^3)</f>
        <v>0.73396504507832594</v>
      </c>
      <c r="F393" s="100"/>
      <c r="G393" s="200">
        <f t="shared" si="17"/>
        <v>2068.3134970307224</v>
      </c>
      <c r="H393" s="100"/>
    </row>
    <row r="394" spans="1:8" ht="13">
      <c r="A394" s="194" t="s">
        <v>492</v>
      </c>
      <c r="B394" s="100"/>
      <c r="C394" s="199">
        <v>3916</v>
      </c>
      <c r="D394" s="100"/>
      <c r="E394" s="194">
        <f>1/(1.1086^4)</f>
        <v>0.66206480703439097</v>
      </c>
      <c r="F394" s="100"/>
      <c r="G394" s="200">
        <f t="shared" si="17"/>
        <v>2592.6457843466751</v>
      </c>
      <c r="H394" s="100"/>
    </row>
    <row r="395" spans="1:8" ht="13">
      <c r="A395" s="194" t="s">
        <v>493</v>
      </c>
      <c r="B395" s="100"/>
      <c r="C395" s="199">
        <v>4087</v>
      </c>
      <c r="D395" s="100"/>
      <c r="E395" s="194">
        <f>1/(1.1086^5)</f>
        <v>0.5972080164481246</v>
      </c>
      <c r="F395" s="100"/>
      <c r="G395" s="200">
        <f t="shared" si="17"/>
        <v>2440.789163223485</v>
      </c>
      <c r="H395" s="100"/>
    </row>
    <row r="396" spans="1:8" ht="13">
      <c r="A396" s="201" t="s">
        <v>499</v>
      </c>
      <c r="B396" s="88"/>
      <c r="C396" s="88"/>
      <c r="D396" s="100"/>
      <c r="E396" s="202">
        <f>SUM(G391:H395)</f>
        <v>7759.9344306547036</v>
      </c>
      <c r="F396" s="88"/>
      <c r="G396" s="88"/>
      <c r="H396" s="100"/>
    </row>
    <row r="397" spans="1:8" ht="16">
      <c r="A397" s="192"/>
      <c r="B397" s="82"/>
      <c r="C397" s="82"/>
      <c r="D397" s="82"/>
      <c r="E397" s="82"/>
      <c r="F397" s="82"/>
      <c r="G397" s="82"/>
      <c r="H397" s="155"/>
    </row>
    <row r="398" spans="1:8" ht="16">
      <c r="A398" s="59"/>
      <c r="B398" s="59"/>
      <c r="C398" s="59"/>
      <c r="D398" s="59"/>
      <c r="E398" s="59"/>
      <c r="F398" s="59"/>
      <c r="G398" s="59"/>
      <c r="H398" s="63"/>
    </row>
    <row r="399" spans="1:8" ht="13">
      <c r="A399" s="189" t="s">
        <v>500</v>
      </c>
      <c r="B399" s="82"/>
      <c r="C399" s="82"/>
      <c r="D399" s="82"/>
      <c r="E399" s="82"/>
      <c r="F399" s="82"/>
      <c r="G399" s="82"/>
      <c r="H399" s="155"/>
    </row>
    <row r="400" spans="1:8" ht="16">
      <c r="A400" s="191"/>
      <c r="B400" s="82"/>
      <c r="C400" s="82"/>
      <c r="D400" s="82"/>
      <c r="E400" s="82"/>
      <c r="F400" s="82"/>
      <c r="G400" s="82"/>
      <c r="H400" s="155"/>
    </row>
    <row r="401" spans="1:8" ht="13">
      <c r="A401" s="192" t="s">
        <v>501</v>
      </c>
      <c r="B401" s="82"/>
      <c r="C401" s="82"/>
      <c r="D401" s="82"/>
      <c r="E401" s="82"/>
      <c r="F401" s="82"/>
      <c r="G401" s="82"/>
      <c r="H401" s="155"/>
    </row>
    <row r="402" spans="1:8" ht="16">
      <c r="A402" s="191"/>
      <c r="B402" s="82"/>
      <c r="C402" s="82"/>
      <c r="D402" s="82"/>
      <c r="E402" s="82"/>
      <c r="F402" s="82"/>
      <c r="G402" s="82"/>
      <c r="H402" s="155"/>
    </row>
    <row r="403" spans="1:8" ht="13">
      <c r="A403" s="191" t="s">
        <v>502</v>
      </c>
      <c r="B403" s="82"/>
      <c r="C403" s="82"/>
      <c r="D403" s="82"/>
      <c r="E403" s="82"/>
      <c r="F403" s="82"/>
      <c r="G403" s="82"/>
      <c r="H403" s="155"/>
    </row>
    <row r="404" spans="1:8" ht="13">
      <c r="A404" s="191" t="s">
        <v>503</v>
      </c>
      <c r="B404" s="82"/>
      <c r="C404" s="82"/>
      <c r="D404" s="82"/>
      <c r="E404" s="82"/>
      <c r="F404" s="82"/>
      <c r="G404" s="82"/>
      <c r="H404" s="155"/>
    </row>
    <row r="405" spans="1:8" ht="13">
      <c r="A405" s="191" t="s">
        <v>504</v>
      </c>
      <c r="B405" s="82"/>
      <c r="C405" s="82"/>
      <c r="D405" s="82"/>
      <c r="E405" s="82"/>
      <c r="F405" s="82"/>
      <c r="G405" s="82"/>
      <c r="H405" s="155"/>
    </row>
    <row r="406" spans="1:8" ht="16">
      <c r="A406" s="59"/>
      <c r="B406" s="59"/>
      <c r="C406" s="59"/>
      <c r="D406" s="59"/>
      <c r="E406" s="59"/>
      <c r="F406" s="59"/>
      <c r="G406" s="59"/>
      <c r="H406" s="63"/>
    </row>
    <row r="407" spans="1:8" ht="13">
      <c r="A407" s="192" t="s">
        <v>505</v>
      </c>
      <c r="B407" s="82"/>
      <c r="C407" s="82"/>
      <c r="D407" s="82"/>
      <c r="E407" s="82"/>
      <c r="F407" s="82"/>
      <c r="G407" s="82"/>
      <c r="H407" s="155"/>
    </row>
    <row r="408" spans="1:8" ht="13">
      <c r="A408" s="191" t="s">
        <v>506</v>
      </c>
      <c r="B408" s="82"/>
      <c r="C408" s="82"/>
      <c r="D408" s="82"/>
      <c r="E408" s="82"/>
      <c r="F408" s="82"/>
      <c r="G408" s="82"/>
      <c r="H408" s="155"/>
    </row>
    <row r="409" spans="1:8" ht="16">
      <c r="A409" s="59"/>
      <c r="B409" s="59"/>
      <c r="C409" s="59"/>
      <c r="D409" s="59"/>
      <c r="E409" s="59"/>
      <c r="F409" s="59"/>
      <c r="G409" s="59"/>
      <c r="H409" s="63"/>
    </row>
    <row r="410" spans="1:8" ht="13">
      <c r="A410" s="189" t="s">
        <v>507</v>
      </c>
      <c r="B410" s="82"/>
      <c r="C410" s="82"/>
      <c r="D410" s="82"/>
      <c r="E410" s="82"/>
      <c r="F410" s="82"/>
      <c r="G410" s="82"/>
      <c r="H410" s="155"/>
    </row>
    <row r="411" spans="1:8" ht="16">
      <c r="A411" s="191"/>
      <c r="B411" s="82"/>
      <c r="C411" s="82"/>
      <c r="D411" s="82"/>
      <c r="E411" s="82"/>
      <c r="F411" s="82"/>
      <c r="G411" s="82"/>
      <c r="H411" s="155"/>
    </row>
    <row r="412" spans="1:8" ht="13">
      <c r="A412" s="191" t="s">
        <v>508</v>
      </c>
      <c r="B412" s="82"/>
      <c r="C412" s="82"/>
      <c r="D412" s="82"/>
      <c r="E412" s="82"/>
      <c r="F412" s="82"/>
      <c r="G412" s="82"/>
      <c r="H412" s="155"/>
    </row>
    <row r="413" spans="1:8" ht="13">
      <c r="A413" s="192" t="s">
        <v>509</v>
      </c>
      <c r="B413" s="82"/>
      <c r="C413" s="82"/>
      <c r="D413" s="82"/>
      <c r="E413" s="82"/>
      <c r="F413" s="82"/>
      <c r="G413" s="82"/>
      <c r="H413" s="155"/>
    </row>
    <row r="414" spans="1:8" ht="16">
      <c r="A414" s="191"/>
      <c r="B414" s="82"/>
      <c r="C414" s="82"/>
      <c r="D414" s="82"/>
      <c r="E414" s="82"/>
      <c r="F414" s="82"/>
      <c r="G414" s="82"/>
      <c r="H414" s="155"/>
    </row>
    <row r="415" spans="1:8" ht="13">
      <c r="A415" s="189" t="s">
        <v>510</v>
      </c>
      <c r="B415" s="82"/>
      <c r="C415" s="82"/>
      <c r="D415" s="82"/>
      <c r="E415" s="82"/>
      <c r="F415" s="82"/>
      <c r="G415" s="82"/>
      <c r="H415" s="155"/>
    </row>
    <row r="416" spans="1:8" ht="16">
      <c r="A416" s="191"/>
      <c r="B416" s="82"/>
      <c r="C416" s="82"/>
      <c r="D416" s="82"/>
      <c r="E416" s="82"/>
      <c r="F416" s="82"/>
      <c r="G416" s="82"/>
      <c r="H416" s="155"/>
    </row>
    <row r="417" spans="1:8" ht="13">
      <c r="A417" s="191" t="s">
        <v>511</v>
      </c>
      <c r="B417" s="82"/>
      <c r="C417" s="82"/>
      <c r="D417" s="82"/>
      <c r="E417" s="82"/>
      <c r="F417" s="82"/>
      <c r="G417" s="82"/>
      <c r="H417" s="155"/>
    </row>
    <row r="418" spans="1:8" ht="16">
      <c r="A418" s="191"/>
      <c r="B418" s="82"/>
      <c r="C418" s="82"/>
      <c r="D418" s="82"/>
      <c r="E418" s="82"/>
      <c r="F418" s="82"/>
      <c r="G418" s="82"/>
      <c r="H418" s="155"/>
    </row>
    <row r="419" spans="1:8" ht="13">
      <c r="A419" s="189" t="s">
        <v>512</v>
      </c>
      <c r="B419" s="82"/>
      <c r="C419" s="82"/>
      <c r="D419" s="82"/>
      <c r="E419" s="82"/>
      <c r="F419" s="82"/>
      <c r="G419" s="82"/>
      <c r="H419" s="155"/>
    </row>
    <row r="420" spans="1:8" ht="16">
      <c r="A420" s="191"/>
      <c r="B420" s="82"/>
      <c r="C420" s="82"/>
      <c r="D420" s="82"/>
      <c r="E420" s="82"/>
      <c r="F420" s="82"/>
      <c r="G420" s="82"/>
      <c r="H420" s="155"/>
    </row>
    <row r="421" spans="1:8" ht="13">
      <c r="A421" s="192" t="s">
        <v>513</v>
      </c>
      <c r="B421" s="82"/>
      <c r="C421" s="82"/>
      <c r="D421" s="82"/>
      <c r="E421" s="82"/>
      <c r="F421" s="82"/>
      <c r="G421" s="82"/>
      <c r="H421" s="155"/>
    </row>
    <row r="422" spans="1:8" ht="13">
      <c r="A422" s="192" t="s">
        <v>514</v>
      </c>
      <c r="B422" s="82"/>
      <c r="C422" s="82"/>
      <c r="D422" s="82"/>
      <c r="E422" s="82"/>
      <c r="F422" s="82"/>
      <c r="G422" s="82"/>
      <c r="H422" s="155"/>
    </row>
    <row r="423" spans="1:8" ht="16">
      <c r="A423" s="191"/>
      <c r="B423" s="82"/>
      <c r="C423" s="82"/>
      <c r="D423" s="82"/>
      <c r="E423" s="82"/>
      <c r="F423" s="82"/>
      <c r="G423" s="82"/>
      <c r="H423" s="155"/>
    </row>
    <row r="424" spans="1:8" ht="13">
      <c r="A424" s="192" t="s">
        <v>515</v>
      </c>
      <c r="B424" s="82"/>
      <c r="C424" s="82"/>
      <c r="D424" s="82"/>
      <c r="E424" s="82"/>
      <c r="F424" s="82"/>
      <c r="G424" s="82"/>
      <c r="H424" s="155"/>
    </row>
    <row r="425" spans="1:8" ht="13">
      <c r="A425" s="192" t="s">
        <v>516</v>
      </c>
      <c r="B425" s="82"/>
      <c r="C425" s="82"/>
      <c r="D425" s="82"/>
      <c r="E425" s="82"/>
      <c r="F425" s="82"/>
      <c r="G425" s="82"/>
      <c r="H425" s="155"/>
    </row>
    <row r="426" spans="1:8" ht="16">
      <c r="A426" s="59"/>
      <c r="B426" s="59"/>
      <c r="C426" s="59"/>
      <c r="D426" s="59"/>
      <c r="E426" s="59"/>
      <c r="F426" s="59"/>
      <c r="G426" s="59"/>
      <c r="H426" s="63"/>
    </row>
    <row r="427" spans="1:8" ht="16">
      <c r="A427" s="59"/>
      <c r="B427" s="59"/>
      <c r="C427" s="59"/>
      <c r="D427" s="59"/>
      <c r="E427" s="59"/>
      <c r="F427" s="59"/>
      <c r="G427" s="59"/>
      <c r="H427" s="63"/>
    </row>
    <row r="428" spans="1:8" ht="16">
      <c r="A428" s="59"/>
      <c r="B428" s="59"/>
      <c r="C428" s="198" t="s">
        <v>316</v>
      </c>
      <c r="D428" s="100"/>
      <c r="E428" s="198" t="s">
        <v>420</v>
      </c>
      <c r="F428" s="100"/>
      <c r="G428" s="59"/>
      <c r="H428" s="63"/>
    </row>
    <row r="429" spans="1:8" ht="16">
      <c r="A429" s="59"/>
      <c r="B429" s="59"/>
      <c r="C429" s="194" t="s">
        <v>517</v>
      </c>
      <c r="D429" s="100"/>
      <c r="E429" s="194" t="s">
        <v>518</v>
      </c>
      <c r="F429" s="100"/>
      <c r="G429" s="59"/>
      <c r="H429" s="63"/>
    </row>
    <row r="430" spans="1:8" ht="16">
      <c r="A430" s="59"/>
      <c r="B430" s="59"/>
      <c r="C430" s="194" t="s">
        <v>519</v>
      </c>
      <c r="D430" s="100"/>
      <c r="E430" s="194" t="s">
        <v>520</v>
      </c>
      <c r="F430" s="100"/>
      <c r="G430" s="59"/>
      <c r="H430" s="63"/>
    </row>
    <row r="431" spans="1:8" ht="16">
      <c r="A431" s="59"/>
      <c r="B431" s="59"/>
      <c r="C431" s="194" t="s">
        <v>521</v>
      </c>
      <c r="D431" s="100"/>
      <c r="E431" s="194" t="s">
        <v>522</v>
      </c>
      <c r="F431" s="100"/>
      <c r="G431" s="59"/>
      <c r="H431" s="63"/>
    </row>
    <row r="432" spans="1:8" ht="16">
      <c r="A432" s="59"/>
      <c r="B432" s="59"/>
      <c r="C432" s="194" t="s">
        <v>523</v>
      </c>
      <c r="D432" s="100"/>
      <c r="E432" s="194" t="s">
        <v>524</v>
      </c>
      <c r="F432" s="100"/>
      <c r="G432" s="59"/>
      <c r="H432" s="63"/>
    </row>
    <row r="433" spans="1:8" ht="16">
      <c r="A433" s="64"/>
      <c r="B433" s="64"/>
      <c r="C433" s="64"/>
      <c r="D433" s="64"/>
      <c r="E433" s="64"/>
      <c r="F433" s="64"/>
      <c r="G433" s="64"/>
      <c r="H433" s="65"/>
    </row>
    <row r="434" spans="1:8" ht="13">
      <c r="A434" s="190" t="s">
        <v>525</v>
      </c>
      <c r="B434" s="82"/>
      <c r="C434" s="82"/>
      <c r="D434" s="82"/>
      <c r="E434" s="82"/>
      <c r="F434" s="82"/>
      <c r="G434" s="82"/>
      <c r="H434" s="155"/>
    </row>
    <row r="435" spans="1:8" ht="13">
      <c r="A435" s="189" t="s">
        <v>470</v>
      </c>
      <c r="B435" s="82"/>
      <c r="C435" s="82"/>
      <c r="D435" s="82"/>
      <c r="E435" s="82"/>
      <c r="F435" s="82"/>
      <c r="G435" s="82"/>
      <c r="H435" s="155"/>
    </row>
    <row r="436" spans="1:8" ht="16">
      <c r="A436" s="191"/>
      <c r="B436" s="82"/>
      <c r="C436" s="82"/>
      <c r="D436" s="82"/>
      <c r="E436" s="82"/>
      <c r="F436" s="82"/>
      <c r="G436" s="82"/>
      <c r="H436" s="155"/>
    </row>
    <row r="437" spans="1:8" ht="13">
      <c r="A437" s="192" t="s">
        <v>471</v>
      </c>
      <c r="B437" s="82"/>
      <c r="C437" s="82"/>
      <c r="D437" s="82"/>
      <c r="E437" s="82"/>
      <c r="F437" s="82"/>
      <c r="G437" s="82"/>
      <c r="H437" s="155"/>
    </row>
    <row r="438" spans="1:8" ht="13">
      <c r="A438" s="191" t="s">
        <v>472</v>
      </c>
      <c r="B438" s="82"/>
      <c r="C438" s="82"/>
      <c r="D438" s="82"/>
      <c r="E438" s="82"/>
      <c r="F438" s="82"/>
      <c r="G438" s="82"/>
      <c r="H438" s="155"/>
    </row>
    <row r="439" spans="1:8" ht="13">
      <c r="A439" s="191" t="s">
        <v>473</v>
      </c>
      <c r="B439" s="82"/>
      <c r="C439" s="82"/>
      <c r="D439" s="82"/>
      <c r="E439" s="82"/>
      <c r="F439" s="82"/>
      <c r="G439" s="82"/>
      <c r="H439" s="155"/>
    </row>
    <row r="440" spans="1:8" ht="16">
      <c r="A440" s="191"/>
      <c r="B440" s="82"/>
      <c r="C440" s="82"/>
      <c r="D440" s="82"/>
      <c r="E440" s="82"/>
      <c r="F440" s="82"/>
      <c r="G440" s="82"/>
      <c r="H440" s="155"/>
    </row>
    <row r="441" spans="1:8" ht="13">
      <c r="A441" s="192" t="s">
        <v>474</v>
      </c>
      <c r="B441" s="82"/>
      <c r="C441" s="82"/>
      <c r="D441" s="82"/>
      <c r="E441" s="82"/>
      <c r="F441" s="82"/>
      <c r="G441" s="82"/>
      <c r="H441" s="155"/>
    </row>
    <row r="442" spans="1:8" ht="13">
      <c r="A442" s="191" t="s">
        <v>472</v>
      </c>
      <c r="B442" s="82"/>
      <c r="C442" s="82"/>
      <c r="D442" s="82"/>
      <c r="E442" s="82"/>
      <c r="F442" s="82"/>
      <c r="G442" s="82"/>
      <c r="H442" s="155"/>
    </row>
    <row r="443" spans="1:8" ht="13">
      <c r="A443" s="191" t="s">
        <v>475</v>
      </c>
      <c r="B443" s="82"/>
      <c r="C443" s="82"/>
      <c r="D443" s="82"/>
      <c r="E443" s="82"/>
      <c r="F443" s="82"/>
      <c r="G443" s="82"/>
      <c r="H443" s="155"/>
    </row>
    <row r="444" spans="1:8" ht="16">
      <c r="A444" s="191"/>
      <c r="B444" s="82"/>
      <c r="C444" s="82"/>
      <c r="D444" s="82"/>
      <c r="E444" s="82"/>
      <c r="F444" s="82"/>
      <c r="G444" s="82"/>
      <c r="H444" s="155"/>
    </row>
    <row r="445" spans="1:8" ht="13">
      <c r="A445" s="192" t="s">
        <v>476</v>
      </c>
      <c r="B445" s="82"/>
      <c r="C445" s="82"/>
      <c r="D445" s="82"/>
      <c r="E445" s="82"/>
      <c r="F445" s="82"/>
      <c r="G445" s="82"/>
      <c r="H445" s="155"/>
    </row>
    <row r="446" spans="1:8" ht="13">
      <c r="A446" s="191" t="s">
        <v>477</v>
      </c>
      <c r="B446" s="82"/>
      <c r="C446" s="82"/>
      <c r="D446" s="82"/>
      <c r="E446" s="82"/>
      <c r="F446" s="82"/>
      <c r="G446" s="82"/>
      <c r="H446" s="155"/>
    </row>
    <row r="447" spans="1:8" ht="13">
      <c r="A447" s="192" t="s">
        <v>478</v>
      </c>
      <c r="B447" s="82"/>
      <c r="C447" s="82"/>
      <c r="D447" s="82"/>
      <c r="E447" s="82"/>
      <c r="F447" s="82"/>
      <c r="G447" s="82"/>
      <c r="H447" s="155"/>
    </row>
    <row r="448" spans="1:8" ht="13">
      <c r="A448" s="191" t="s">
        <v>526</v>
      </c>
      <c r="B448" s="82"/>
      <c r="C448" s="82"/>
      <c r="D448" s="82"/>
      <c r="E448" s="82"/>
      <c r="F448" s="82"/>
      <c r="G448" s="82"/>
      <c r="H448" s="155"/>
    </row>
    <row r="449" spans="1:8" ht="13">
      <c r="A449" s="191" t="s">
        <v>480</v>
      </c>
      <c r="B449" s="82"/>
      <c r="C449" s="82"/>
      <c r="D449" s="82"/>
      <c r="E449" s="82"/>
      <c r="F449" s="82"/>
      <c r="G449" s="82"/>
      <c r="H449" s="155"/>
    </row>
    <row r="450" spans="1:8" ht="13">
      <c r="A450" s="191" t="s">
        <v>481</v>
      </c>
      <c r="B450" s="82"/>
      <c r="C450" s="82"/>
      <c r="D450" s="82"/>
      <c r="E450" s="82"/>
      <c r="F450" s="82"/>
      <c r="G450" s="82"/>
      <c r="H450" s="155"/>
    </row>
    <row r="451" spans="1:8" ht="16">
      <c r="A451" s="191"/>
      <c r="B451" s="82"/>
      <c r="C451" s="82"/>
      <c r="D451" s="82"/>
      <c r="E451" s="82"/>
      <c r="F451" s="82"/>
      <c r="G451" s="82"/>
      <c r="H451" s="155"/>
    </row>
    <row r="452" spans="1:8" ht="13">
      <c r="A452" s="189" t="s">
        <v>482</v>
      </c>
      <c r="B452" s="82"/>
      <c r="C452" s="82"/>
      <c r="D452" s="82"/>
      <c r="E452" s="82"/>
      <c r="F452" s="82"/>
      <c r="G452" s="82"/>
      <c r="H452" s="155"/>
    </row>
    <row r="453" spans="1:8" ht="16">
      <c r="A453" s="191"/>
      <c r="B453" s="82"/>
      <c r="C453" s="82"/>
      <c r="D453" s="82"/>
      <c r="E453" s="82"/>
      <c r="F453" s="82"/>
      <c r="G453" s="82"/>
      <c r="H453" s="155"/>
    </row>
    <row r="454" spans="1:8" ht="17">
      <c r="A454" s="60"/>
      <c r="B454" s="35" t="s">
        <v>483</v>
      </c>
      <c r="C454" s="35" t="s">
        <v>484</v>
      </c>
      <c r="D454" s="35" t="s">
        <v>485</v>
      </c>
      <c r="E454" s="35" t="s">
        <v>486</v>
      </c>
      <c r="F454" s="35" t="s">
        <v>487</v>
      </c>
      <c r="G454" s="35" t="s">
        <v>488</v>
      </c>
      <c r="H454" s="60"/>
    </row>
    <row r="455" spans="1:8" ht="17">
      <c r="A455" s="60"/>
      <c r="B455" s="61" t="s">
        <v>489</v>
      </c>
      <c r="C455" s="62">
        <v>2736</v>
      </c>
      <c r="D455" s="62">
        <v>1850</v>
      </c>
      <c r="E455" s="62">
        <v>6000</v>
      </c>
      <c r="F455" s="61">
        <v>655</v>
      </c>
      <c r="G455" s="62">
        <f t="shared" ref="G455:G459" si="18">C455+D455-E455-F455</f>
        <v>-2069</v>
      </c>
      <c r="H455" s="60"/>
    </row>
    <row r="456" spans="1:8" ht="17">
      <c r="A456" s="60"/>
      <c r="B456" s="61" t="s">
        <v>490</v>
      </c>
      <c r="C456" s="62">
        <v>3705</v>
      </c>
      <c r="D456" s="62">
        <v>1900</v>
      </c>
      <c r="E456" s="62">
        <v>4000</v>
      </c>
      <c r="F456" s="61">
        <v>611</v>
      </c>
      <c r="G456" s="62">
        <f t="shared" si="18"/>
        <v>994</v>
      </c>
      <c r="H456" s="60"/>
    </row>
    <row r="457" spans="1:8" ht="17">
      <c r="A457" s="60"/>
      <c r="B457" s="61" t="s">
        <v>491</v>
      </c>
      <c r="C457" s="62">
        <v>4406</v>
      </c>
      <c r="D457" s="62">
        <v>1950</v>
      </c>
      <c r="E457" s="62">
        <v>4000</v>
      </c>
      <c r="F457" s="61">
        <v>538</v>
      </c>
      <c r="G457" s="62">
        <f t="shared" si="18"/>
        <v>1818</v>
      </c>
      <c r="H457" s="60"/>
    </row>
    <row r="458" spans="1:8" ht="17">
      <c r="A458" s="60"/>
      <c r="B458" s="61" t="s">
        <v>492</v>
      </c>
      <c r="C458" s="62">
        <v>5125</v>
      </c>
      <c r="D458" s="62">
        <v>2000</v>
      </c>
      <c r="E458" s="62">
        <v>4200</v>
      </c>
      <c r="F458" s="61">
        <v>509</v>
      </c>
      <c r="G458" s="62">
        <f t="shared" si="18"/>
        <v>2416</v>
      </c>
      <c r="H458" s="60"/>
    </row>
    <row r="459" spans="1:8" ht="17">
      <c r="A459" s="60"/>
      <c r="B459" s="61" t="s">
        <v>493</v>
      </c>
      <c r="C459" s="62">
        <v>5503</v>
      </c>
      <c r="D459" s="62">
        <v>2050</v>
      </c>
      <c r="E459" s="62">
        <v>4500</v>
      </c>
      <c r="F459" s="61">
        <v>466</v>
      </c>
      <c r="G459" s="62">
        <f t="shared" si="18"/>
        <v>2587</v>
      </c>
      <c r="H459" s="60"/>
    </row>
    <row r="460" spans="1:8" ht="13">
      <c r="A460" s="193" t="s">
        <v>494</v>
      </c>
      <c r="B460" s="82"/>
      <c r="C460" s="82"/>
      <c r="D460" s="82"/>
      <c r="E460" s="82"/>
      <c r="F460" s="82"/>
      <c r="G460" s="82"/>
      <c r="H460" s="155"/>
    </row>
    <row r="461" spans="1:8" ht="13">
      <c r="A461" s="82"/>
      <c r="B461" s="82"/>
      <c r="C461" s="82"/>
      <c r="D461" s="82"/>
      <c r="E461" s="82"/>
      <c r="F461" s="82"/>
      <c r="G461" s="82"/>
      <c r="H461" s="155"/>
    </row>
    <row r="462" spans="1:8" ht="13">
      <c r="A462" s="82"/>
      <c r="B462" s="82"/>
      <c r="C462" s="82"/>
      <c r="D462" s="82"/>
      <c r="E462" s="82"/>
      <c r="F462" s="82"/>
      <c r="G462" s="82"/>
      <c r="H462" s="155"/>
    </row>
    <row r="463" spans="1:8" ht="13">
      <c r="A463" s="82"/>
      <c r="B463" s="82"/>
      <c r="C463" s="82"/>
      <c r="D463" s="82"/>
      <c r="E463" s="82"/>
      <c r="F463" s="82"/>
      <c r="G463" s="82"/>
      <c r="H463" s="155"/>
    </row>
    <row r="464" spans="1:8" ht="13">
      <c r="A464" s="82"/>
      <c r="B464" s="82"/>
      <c r="C464" s="82"/>
      <c r="D464" s="82"/>
      <c r="E464" s="82"/>
      <c r="F464" s="82"/>
      <c r="G464" s="82"/>
      <c r="H464" s="155"/>
    </row>
    <row r="465" spans="1:8" ht="13">
      <c r="A465" s="82"/>
      <c r="B465" s="82"/>
      <c r="C465" s="82"/>
      <c r="D465" s="82"/>
      <c r="E465" s="82"/>
      <c r="F465" s="82"/>
      <c r="G465" s="82"/>
      <c r="H465" s="155"/>
    </row>
    <row r="466" spans="1:8" ht="13">
      <c r="A466" s="82"/>
      <c r="B466" s="82"/>
      <c r="C466" s="82"/>
      <c r="D466" s="82"/>
      <c r="E466" s="82"/>
      <c r="F466" s="82"/>
      <c r="G466" s="82"/>
      <c r="H466" s="155"/>
    </row>
    <row r="467" spans="1:8" ht="13">
      <c r="A467" s="82"/>
      <c r="B467" s="82"/>
      <c r="C467" s="82"/>
      <c r="D467" s="82"/>
      <c r="E467" s="82"/>
      <c r="F467" s="82"/>
      <c r="G467" s="82"/>
      <c r="H467" s="155"/>
    </row>
    <row r="468" spans="1:8" ht="13">
      <c r="A468" s="82"/>
      <c r="B468" s="82"/>
      <c r="C468" s="82"/>
      <c r="D468" s="82"/>
      <c r="E468" s="82"/>
      <c r="F468" s="82"/>
      <c r="G468" s="82"/>
      <c r="H468" s="155"/>
    </row>
    <row r="469" spans="1:8" ht="13">
      <c r="A469" s="82"/>
      <c r="B469" s="82"/>
      <c r="C469" s="82"/>
      <c r="D469" s="82"/>
      <c r="E469" s="82"/>
      <c r="F469" s="82"/>
      <c r="G469" s="82"/>
      <c r="H469" s="155"/>
    </row>
    <row r="470" spans="1:8" ht="13">
      <c r="A470" s="82"/>
      <c r="B470" s="82"/>
      <c r="C470" s="82"/>
      <c r="D470" s="82"/>
      <c r="E470" s="82"/>
      <c r="F470" s="82"/>
      <c r="G470" s="82"/>
      <c r="H470" s="155"/>
    </row>
    <row r="471" spans="1:8" ht="13">
      <c r="A471" s="82"/>
      <c r="B471" s="82"/>
      <c r="C471" s="82"/>
      <c r="D471" s="82"/>
      <c r="E471" s="82"/>
      <c r="F471" s="82"/>
      <c r="G471" s="82"/>
      <c r="H471" s="155"/>
    </row>
    <row r="472" spans="1:8" ht="13">
      <c r="A472" s="82"/>
      <c r="B472" s="82"/>
      <c r="C472" s="82"/>
      <c r="D472" s="82"/>
      <c r="E472" s="82"/>
      <c r="F472" s="82"/>
      <c r="G472" s="82"/>
      <c r="H472" s="155"/>
    </row>
    <row r="473" spans="1:8" ht="13">
      <c r="A473" s="82"/>
      <c r="B473" s="82"/>
      <c r="C473" s="82"/>
      <c r="D473" s="82"/>
      <c r="E473" s="82"/>
      <c r="F473" s="82"/>
      <c r="G473" s="82"/>
      <c r="H473" s="155"/>
    </row>
    <row r="474" spans="1:8" ht="16">
      <c r="A474" s="59"/>
      <c r="B474" s="59"/>
      <c r="C474" s="59"/>
      <c r="D474" s="59"/>
      <c r="E474" s="59"/>
      <c r="F474" s="59"/>
      <c r="G474" s="59"/>
      <c r="H474" s="63"/>
    </row>
    <row r="475" spans="1:8" ht="13">
      <c r="A475" s="189" t="s">
        <v>495</v>
      </c>
      <c r="B475" s="82"/>
      <c r="C475" s="82"/>
      <c r="D475" s="82"/>
      <c r="E475" s="82"/>
      <c r="F475" s="82"/>
      <c r="G475" s="82"/>
      <c r="H475" s="155"/>
    </row>
    <row r="476" spans="1:8" ht="16">
      <c r="A476" s="191"/>
      <c r="B476" s="82"/>
      <c r="C476" s="82"/>
      <c r="D476" s="82"/>
      <c r="E476" s="82"/>
      <c r="F476" s="82"/>
      <c r="G476" s="82"/>
      <c r="H476" s="155"/>
    </row>
    <row r="477" spans="1:8" ht="13">
      <c r="A477" s="195" t="s">
        <v>496</v>
      </c>
      <c r="B477" s="196"/>
      <c r="C477" s="196"/>
      <c r="D477" s="196"/>
      <c r="E477" s="196"/>
      <c r="F477" s="196"/>
      <c r="G477" s="196"/>
      <c r="H477" s="197"/>
    </row>
    <row r="478" spans="1:8" ht="13">
      <c r="A478" s="198" t="s">
        <v>483</v>
      </c>
      <c r="B478" s="100"/>
      <c r="C478" s="198" t="s">
        <v>488</v>
      </c>
      <c r="D478" s="100"/>
      <c r="E478" s="198" t="s">
        <v>497</v>
      </c>
      <c r="F478" s="100"/>
      <c r="G478" s="198" t="s">
        <v>498</v>
      </c>
      <c r="H478" s="100"/>
    </row>
    <row r="479" spans="1:8" ht="13">
      <c r="A479" s="194" t="s">
        <v>489</v>
      </c>
      <c r="B479" s="100"/>
      <c r="C479" s="199">
        <v>-2069</v>
      </c>
      <c r="D479" s="100"/>
      <c r="E479" s="194">
        <f>1/(1.1086^1)</f>
        <v>0.90203860725239038</v>
      </c>
      <c r="F479" s="100"/>
      <c r="G479" s="200">
        <f>ROUND(C479*E479,5)</f>
        <v>-1866.3178800000001</v>
      </c>
      <c r="H479" s="100"/>
    </row>
    <row r="480" spans="1:8" ht="13">
      <c r="A480" s="194" t="s">
        <v>490</v>
      </c>
      <c r="B480" s="100"/>
      <c r="C480" s="199">
        <v>994</v>
      </c>
      <c r="D480" s="100"/>
      <c r="E480" s="194">
        <f>1/(1.1086^2)</f>
        <v>0.8136736489738321</v>
      </c>
      <c r="F480" s="100"/>
      <c r="G480" s="200">
        <f t="shared" ref="G480:G483" si="19">C480*E480</f>
        <v>808.79160707998915</v>
      </c>
      <c r="H480" s="100"/>
    </row>
    <row r="481" spans="1:8" ht="13">
      <c r="A481" s="194" t="s">
        <v>491</v>
      </c>
      <c r="B481" s="100"/>
      <c r="C481" s="199">
        <v>1818</v>
      </c>
      <c r="D481" s="100"/>
      <c r="E481" s="194">
        <f>1/(1.1086^3)</f>
        <v>0.73396504507832594</v>
      </c>
      <c r="F481" s="100"/>
      <c r="G481" s="200">
        <f t="shared" si="19"/>
        <v>1334.3484519523965</v>
      </c>
      <c r="H481" s="100"/>
    </row>
    <row r="482" spans="1:8" ht="13">
      <c r="A482" s="194" t="s">
        <v>492</v>
      </c>
      <c r="B482" s="100"/>
      <c r="C482" s="199">
        <v>2416</v>
      </c>
      <c r="D482" s="100"/>
      <c r="E482" s="194">
        <f>1/(1.1086^4)</f>
        <v>0.66206480703439097</v>
      </c>
      <c r="F482" s="100"/>
      <c r="G482" s="200">
        <f t="shared" si="19"/>
        <v>1599.5485737950885</v>
      </c>
      <c r="H482" s="100"/>
    </row>
    <row r="483" spans="1:8" ht="13">
      <c r="A483" s="194" t="s">
        <v>493</v>
      </c>
      <c r="B483" s="100"/>
      <c r="C483" s="199">
        <v>2587</v>
      </c>
      <c r="D483" s="100"/>
      <c r="E483" s="194">
        <f>1/(1.1086^5)</f>
        <v>0.5972080164481246</v>
      </c>
      <c r="F483" s="100"/>
      <c r="G483" s="200">
        <f t="shared" si="19"/>
        <v>1544.9771385512984</v>
      </c>
      <c r="H483" s="100"/>
    </row>
    <row r="484" spans="1:8" ht="13">
      <c r="A484" s="201" t="s">
        <v>499</v>
      </c>
      <c r="B484" s="88"/>
      <c r="C484" s="88"/>
      <c r="D484" s="100"/>
      <c r="E484" s="202">
        <f>SUM(G479:H483)</f>
        <v>3421.3478913787726</v>
      </c>
      <c r="F484" s="88"/>
      <c r="G484" s="88"/>
      <c r="H484" s="100"/>
    </row>
    <row r="485" spans="1:8" ht="16">
      <c r="A485" s="192"/>
      <c r="B485" s="82"/>
      <c r="C485" s="82"/>
      <c r="D485" s="82"/>
      <c r="E485" s="82"/>
      <c r="F485" s="82"/>
      <c r="G485" s="82"/>
      <c r="H485" s="155"/>
    </row>
    <row r="486" spans="1:8" ht="16">
      <c r="A486" s="59"/>
      <c r="B486" s="59"/>
      <c r="C486" s="59"/>
      <c r="D486" s="59"/>
      <c r="E486" s="59"/>
      <c r="F486" s="59"/>
      <c r="G486" s="59"/>
      <c r="H486" s="63"/>
    </row>
    <row r="487" spans="1:8" ht="13">
      <c r="A487" s="189" t="s">
        <v>500</v>
      </c>
      <c r="B487" s="82"/>
      <c r="C487" s="82"/>
      <c r="D487" s="82"/>
      <c r="E487" s="82"/>
      <c r="F487" s="82"/>
      <c r="G487" s="82"/>
      <c r="H487" s="155"/>
    </row>
    <row r="488" spans="1:8" ht="16">
      <c r="A488" s="191"/>
      <c r="B488" s="82"/>
      <c r="C488" s="82"/>
      <c r="D488" s="82"/>
      <c r="E488" s="82"/>
      <c r="F488" s="82"/>
      <c r="G488" s="82"/>
      <c r="H488" s="155"/>
    </row>
    <row r="489" spans="1:8" ht="13">
      <c r="A489" s="192" t="s">
        <v>527</v>
      </c>
      <c r="B489" s="82"/>
      <c r="C489" s="82"/>
      <c r="D489" s="82"/>
      <c r="E489" s="82"/>
      <c r="F489" s="82"/>
      <c r="G489" s="82"/>
      <c r="H489" s="155"/>
    </row>
    <row r="490" spans="1:8" ht="16">
      <c r="A490" s="191"/>
      <c r="B490" s="82"/>
      <c r="C490" s="82"/>
      <c r="D490" s="82"/>
      <c r="E490" s="82"/>
      <c r="F490" s="82"/>
      <c r="G490" s="82"/>
      <c r="H490" s="155"/>
    </row>
    <row r="491" spans="1:8" ht="13">
      <c r="A491" s="191" t="s">
        <v>502</v>
      </c>
      <c r="B491" s="82"/>
      <c r="C491" s="82"/>
      <c r="D491" s="82"/>
      <c r="E491" s="82"/>
      <c r="F491" s="82"/>
      <c r="G491" s="82"/>
      <c r="H491" s="155"/>
    </row>
    <row r="492" spans="1:8" ht="13">
      <c r="A492" s="191" t="s">
        <v>528</v>
      </c>
      <c r="B492" s="82"/>
      <c r="C492" s="82"/>
      <c r="D492" s="82"/>
      <c r="E492" s="82"/>
      <c r="F492" s="82"/>
      <c r="G492" s="82"/>
      <c r="H492" s="155"/>
    </row>
    <row r="493" spans="1:8" ht="13">
      <c r="A493" s="191" t="s">
        <v>529</v>
      </c>
      <c r="B493" s="82"/>
      <c r="C493" s="82"/>
      <c r="D493" s="82"/>
      <c r="E493" s="82"/>
      <c r="F493" s="82"/>
      <c r="G493" s="82"/>
      <c r="H493" s="155"/>
    </row>
    <row r="494" spans="1:8" ht="16">
      <c r="A494" s="59"/>
      <c r="B494" s="59"/>
      <c r="C494" s="59"/>
      <c r="D494" s="59"/>
      <c r="E494" s="59"/>
      <c r="F494" s="59"/>
      <c r="G494" s="59"/>
      <c r="H494" s="63"/>
    </row>
    <row r="495" spans="1:8" ht="13">
      <c r="A495" s="192" t="s">
        <v>505</v>
      </c>
      <c r="B495" s="82"/>
      <c r="C495" s="82"/>
      <c r="D495" s="82"/>
      <c r="E495" s="82"/>
      <c r="F495" s="82"/>
      <c r="G495" s="82"/>
      <c r="H495" s="155"/>
    </row>
    <row r="496" spans="1:8" ht="13">
      <c r="A496" s="191" t="s">
        <v>530</v>
      </c>
      <c r="B496" s="82"/>
      <c r="C496" s="82"/>
      <c r="D496" s="82"/>
      <c r="E496" s="82"/>
      <c r="F496" s="82"/>
      <c r="G496" s="82"/>
      <c r="H496" s="155"/>
    </row>
    <row r="497" spans="1:8" ht="16">
      <c r="A497" s="59"/>
      <c r="B497" s="59"/>
      <c r="C497" s="59"/>
      <c r="D497" s="59"/>
      <c r="E497" s="59"/>
      <c r="F497" s="59"/>
      <c r="G497" s="59"/>
      <c r="H497" s="63"/>
    </row>
    <row r="498" spans="1:8" ht="13">
      <c r="A498" s="189" t="s">
        <v>507</v>
      </c>
      <c r="B498" s="82"/>
      <c r="C498" s="82"/>
      <c r="D498" s="82"/>
      <c r="E498" s="82"/>
      <c r="F498" s="82"/>
      <c r="G498" s="82"/>
      <c r="H498" s="155"/>
    </row>
    <row r="499" spans="1:8" ht="16">
      <c r="A499" s="191"/>
      <c r="B499" s="82"/>
      <c r="C499" s="82"/>
      <c r="D499" s="82"/>
      <c r="E499" s="82"/>
      <c r="F499" s="82"/>
      <c r="G499" s="82"/>
      <c r="H499" s="155"/>
    </row>
    <row r="500" spans="1:8" ht="13">
      <c r="A500" s="191" t="s">
        <v>508</v>
      </c>
      <c r="B500" s="82"/>
      <c r="C500" s="82"/>
      <c r="D500" s="82"/>
      <c r="E500" s="82"/>
      <c r="F500" s="82"/>
      <c r="G500" s="82"/>
      <c r="H500" s="155"/>
    </row>
    <row r="501" spans="1:8" ht="13">
      <c r="A501" s="192" t="s">
        <v>531</v>
      </c>
      <c r="B501" s="82"/>
      <c r="C501" s="82"/>
      <c r="D501" s="82"/>
      <c r="E501" s="82"/>
      <c r="F501" s="82"/>
      <c r="G501" s="82"/>
      <c r="H501" s="155"/>
    </row>
    <row r="502" spans="1:8" ht="16">
      <c r="A502" s="191"/>
      <c r="B502" s="82"/>
      <c r="C502" s="82"/>
      <c r="D502" s="82"/>
      <c r="E502" s="82"/>
      <c r="F502" s="82"/>
      <c r="G502" s="82"/>
      <c r="H502" s="155"/>
    </row>
    <row r="503" spans="1:8" ht="13">
      <c r="A503" s="189" t="s">
        <v>510</v>
      </c>
      <c r="B503" s="82"/>
      <c r="C503" s="82"/>
      <c r="D503" s="82"/>
      <c r="E503" s="82"/>
      <c r="F503" s="82"/>
      <c r="G503" s="82"/>
      <c r="H503" s="155"/>
    </row>
    <row r="504" spans="1:8" ht="16">
      <c r="A504" s="191"/>
      <c r="B504" s="82"/>
      <c r="C504" s="82"/>
      <c r="D504" s="82"/>
      <c r="E504" s="82"/>
      <c r="F504" s="82"/>
      <c r="G504" s="82"/>
      <c r="H504" s="155"/>
    </row>
    <row r="505" spans="1:8" ht="13">
      <c r="A505" s="191" t="s">
        <v>532</v>
      </c>
      <c r="B505" s="82"/>
      <c r="C505" s="82"/>
      <c r="D505" s="82"/>
      <c r="E505" s="82"/>
      <c r="F505" s="82"/>
      <c r="G505" s="82"/>
      <c r="H505" s="155"/>
    </row>
    <row r="506" spans="1:8" ht="16">
      <c r="A506" s="191"/>
      <c r="B506" s="82"/>
      <c r="C506" s="82"/>
      <c r="D506" s="82"/>
      <c r="E506" s="82"/>
      <c r="F506" s="82"/>
      <c r="G506" s="82"/>
      <c r="H506" s="155"/>
    </row>
    <row r="507" spans="1:8" ht="13">
      <c r="A507" s="189" t="s">
        <v>512</v>
      </c>
      <c r="B507" s="82"/>
      <c r="C507" s="82"/>
      <c r="D507" s="82"/>
      <c r="E507" s="82"/>
      <c r="F507" s="82"/>
      <c r="G507" s="82"/>
      <c r="H507" s="155"/>
    </row>
    <row r="508" spans="1:8" ht="16">
      <c r="A508" s="191"/>
      <c r="B508" s="82"/>
      <c r="C508" s="82"/>
      <c r="D508" s="82"/>
      <c r="E508" s="82"/>
      <c r="F508" s="82"/>
      <c r="G508" s="82"/>
      <c r="H508" s="155"/>
    </row>
    <row r="509" spans="1:8" ht="13">
      <c r="A509" s="192" t="s">
        <v>513</v>
      </c>
      <c r="B509" s="82"/>
      <c r="C509" s="82"/>
      <c r="D509" s="82"/>
      <c r="E509" s="82"/>
      <c r="F509" s="82"/>
      <c r="G509" s="82"/>
      <c r="H509" s="155"/>
    </row>
    <row r="510" spans="1:8" ht="13">
      <c r="A510" s="192" t="s">
        <v>514</v>
      </c>
      <c r="B510" s="82"/>
      <c r="C510" s="82"/>
      <c r="D510" s="82"/>
      <c r="E510" s="82"/>
      <c r="F510" s="82"/>
      <c r="G510" s="82"/>
      <c r="H510" s="155"/>
    </row>
    <row r="511" spans="1:8" ht="16">
      <c r="A511" s="191"/>
      <c r="B511" s="82"/>
      <c r="C511" s="82"/>
      <c r="D511" s="82"/>
      <c r="E511" s="82"/>
      <c r="F511" s="82"/>
      <c r="G511" s="82"/>
      <c r="H511" s="155"/>
    </row>
    <row r="512" spans="1:8" ht="13">
      <c r="A512" s="192" t="s">
        <v>533</v>
      </c>
      <c r="B512" s="82"/>
      <c r="C512" s="82"/>
      <c r="D512" s="82"/>
      <c r="E512" s="82"/>
      <c r="F512" s="82"/>
      <c r="G512" s="82"/>
      <c r="H512" s="155"/>
    </row>
    <row r="513" spans="1:8" ht="16">
      <c r="A513" s="192"/>
      <c r="B513" s="82"/>
      <c r="C513" s="82"/>
      <c r="D513" s="82"/>
      <c r="E513" s="82"/>
      <c r="F513" s="82"/>
      <c r="G513" s="82"/>
      <c r="H513" s="155"/>
    </row>
    <row r="514" spans="1:8" ht="16">
      <c r="A514" s="59"/>
      <c r="B514" s="59"/>
      <c r="C514" s="198" t="s">
        <v>316</v>
      </c>
      <c r="D514" s="100"/>
      <c r="E514" s="198" t="s">
        <v>420</v>
      </c>
      <c r="F514" s="100"/>
      <c r="G514" s="59"/>
      <c r="H514" s="63"/>
    </row>
    <row r="515" spans="1:8" ht="16">
      <c r="A515" s="59"/>
      <c r="B515" s="59"/>
      <c r="C515" s="194" t="s">
        <v>517</v>
      </c>
      <c r="D515" s="100"/>
      <c r="E515" s="194" t="s">
        <v>534</v>
      </c>
      <c r="F515" s="100"/>
      <c r="G515" s="59"/>
      <c r="H515" s="63"/>
    </row>
    <row r="516" spans="1:8" ht="16">
      <c r="A516" s="59"/>
      <c r="B516" s="59"/>
      <c r="C516" s="194" t="s">
        <v>519</v>
      </c>
      <c r="D516" s="100"/>
      <c r="E516" s="194">
        <v>0</v>
      </c>
      <c r="F516" s="100"/>
      <c r="G516" s="59"/>
      <c r="H516" s="63"/>
    </row>
    <row r="517" spans="1:8" ht="16">
      <c r="A517" s="59"/>
      <c r="B517" s="59"/>
      <c r="C517" s="194" t="s">
        <v>521</v>
      </c>
      <c r="D517" s="100"/>
      <c r="E517" s="194" t="s">
        <v>522</v>
      </c>
      <c r="F517" s="100"/>
      <c r="G517" s="59"/>
      <c r="H517" s="63"/>
    </row>
    <row r="518" spans="1:8" ht="16">
      <c r="A518" s="59"/>
      <c r="B518" s="59"/>
      <c r="C518" s="194" t="s">
        <v>535</v>
      </c>
      <c r="D518" s="100"/>
      <c r="E518" s="194" t="s">
        <v>536</v>
      </c>
      <c r="F518" s="100"/>
      <c r="G518" s="59"/>
      <c r="H518" s="63"/>
    </row>
    <row r="519" spans="1:8" ht="16">
      <c r="A519" s="64"/>
      <c r="B519" s="64"/>
      <c r="C519" s="64"/>
      <c r="D519" s="64"/>
      <c r="E519" s="64"/>
      <c r="F519" s="64"/>
      <c r="G519" s="64"/>
      <c r="H519" s="65"/>
    </row>
    <row r="520" spans="1:8" ht="16">
      <c r="A520" s="190"/>
      <c r="B520" s="82"/>
      <c r="C520" s="82"/>
      <c r="D520" s="82"/>
      <c r="E520" s="82"/>
      <c r="F520" s="82"/>
      <c r="G520" s="82"/>
      <c r="H520" s="155"/>
    </row>
    <row r="521" spans="1:8" ht="13">
      <c r="A521" s="230" t="s">
        <v>537</v>
      </c>
      <c r="B521" s="82"/>
      <c r="C521" s="82"/>
      <c r="D521" s="82"/>
      <c r="E521" s="82"/>
      <c r="F521" s="82"/>
      <c r="G521" s="82"/>
      <c r="H521" s="155"/>
    </row>
    <row r="522" spans="1:8" ht="13">
      <c r="A522" s="210" t="s">
        <v>470</v>
      </c>
      <c r="B522" s="82"/>
      <c r="C522" s="82"/>
      <c r="D522" s="82"/>
      <c r="E522" s="82"/>
      <c r="F522" s="82"/>
      <c r="G522" s="82"/>
      <c r="H522" s="155"/>
    </row>
    <row r="523" spans="1:8" ht="16">
      <c r="A523" s="211"/>
      <c r="B523" s="82"/>
      <c r="C523" s="82"/>
      <c r="D523" s="82"/>
      <c r="E523" s="82"/>
      <c r="F523" s="82"/>
      <c r="G523" s="82"/>
      <c r="H523" s="155"/>
    </row>
    <row r="524" spans="1:8" ht="13">
      <c r="A524" s="221" t="s">
        <v>471</v>
      </c>
      <c r="B524" s="82"/>
      <c r="C524" s="82"/>
      <c r="D524" s="82"/>
      <c r="E524" s="82"/>
      <c r="F524" s="82"/>
      <c r="G524" s="82"/>
      <c r="H524" s="155"/>
    </row>
    <row r="525" spans="1:8" ht="13">
      <c r="A525" s="211" t="s">
        <v>538</v>
      </c>
      <c r="B525" s="82"/>
      <c r="C525" s="82"/>
      <c r="D525" s="82"/>
      <c r="E525" s="82"/>
      <c r="F525" s="82"/>
      <c r="G525" s="82"/>
      <c r="H525" s="155"/>
    </row>
    <row r="526" spans="1:8" ht="13">
      <c r="A526" s="211" t="s">
        <v>473</v>
      </c>
      <c r="B526" s="82"/>
      <c r="C526" s="82"/>
      <c r="D526" s="82"/>
      <c r="E526" s="82"/>
      <c r="F526" s="82"/>
      <c r="G526" s="82"/>
      <c r="H526" s="155"/>
    </row>
    <row r="527" spans="1:8" ht="16">
      <c r="A527" s="211"/>
      <c r="B527" s="82"/>
      <c r="C527" s="82"/>
      <c r="D527" s="82"/>
      <c r="E527" s="82"/>
      <c r="F527" s="82"/>
      <c r="G527" s="82"/>
      <c r="H527" s="155"/>
    </row>
    <row r="528" spans="1:8" ht="13">
      <c r="A528" s="221" t="s">
        <v>474</v>
      </c>
      <c r="B528" s="82"/>
      <c r="C528" s="82"/>
      <c r="D528" s="82"/>
      <c r="E528" s="82"/>
      <c r="F528" s="82"/>
      <c r="G528" s="82"/>
      <c r="H528" s="155"/>
    </row>
    <row r="529" spans="1:8" ht="13">
      <c r="A529" s="211" t="s">
        <v>472</v>
      </c>
      <c r="B529" s="82"/>
      <c r="C529" s="82"/>
      <c r="D529" s="82"/>
      <c r="E529" s="82"/>
      <c r="F529" s="82"/>
      <c r="G529" s="82"/>
      <c r="H529" s="155"/>
    </row>
    <row r="530" spans="1:8" ht="13">
      <c r="A530" s="211" t="s">
        <v>475</v>
      </c>
      <c r="B530" s="82"/>
      <c r="C530" s="82"/>
      <c r="D530" s="82"/>
      <c r="E530" s="82"/>
      <c r="F530" s="82"/>
      <c r="G530" s="82"/>
      <c r="H530" s="155"/>
    </row>
    <row r="531" spans="1:8" ht="16">
      <c r="A531" s="211"/>
      <c r="B531" s="82"/>
      <c r="C531" s="82"/>
      <c r="D531" s="82"/>
      <c r="E531" s="82"/>
      <c r="F531" s="82"/>
      <c r="G531" s="82"/>
      <c r="H531" s="155"/>
    </row>
    <row r="532" spans="1:8" ht="13">
      <c r="A532" s="221" t="s">
        <v>476</v>
      </c>
      <c r="B532" s="82"/>
      <c r="C532" s="82"/>
      <c r="D532" s="82"/>
      <c r="E532" s="82"/>
      <c r="F532" s="82"/>
      <c r="G532" s="82"/>
      <c r="H532" s="155"/>
    </row>
    <row r="533" spans="1:8" ht="13">
      <c r="A533" s="211" t="s">
        <v>477</v>
      </c>
      <c r="B533" s="82"/>
      <c r="C533" s="82"/>
      <c r="D533" s="82"/>
      <c r="E533" s="82"/>
      <c r="F533" s="82"/>
      <c r="G533" s="82"/>
      <c r="H533" s="155"/>
    </row>
    <row r="534" spans="1:8" ht="13">
      <c r="A534" s="211" t="s">
        <v>478</v>
      </c>
      <c r="B534" s="82"/>
      <c r="C534" s="82"/>
      <c r="D534" s="82"/>
      <c r="E534" s="82"/>
      <c r="F534" s="82"/>
      <c r="G534" s="82"/>
      <c r="H534" s="155"/>
    </row>
    <row r="535" spans="1:8" ht="13">
      <c r="A535" s="211" t="s">
        <v>539</v>
      </c>
      <c r="B535" s="82"/>
      <c r="C535" s="82"/>
      <c r="D535" s="82"/>
      <c r="E535" s="82"/>
      <c r="F535" s="82"/>
      <c r="G535" s="82"/>
      <c r="H535" s="155"/>
    </row>
    <row r="536" spans="1:8" ht="13">
      <c r="A536" s="211" t="s">
        <v>481</v>
      </c>
      <c r="B536" s="82"/>
      <c r="C536" s="82"/>
      <c r="D536" s="82"/>
      <c r="E536" s="82"/>
      <c r="F536" s="82"/>
      <c r="G536" s="82"/>
      <c r="H536" s="155"/>
    </row>
    <row r="537" spans="1:8" ht="16">
      <c r="A537" s="211"/>
      <c r="B537" s="82"/>
      <c r="C537" s="82"/>
      <c r="D537" s="82"/>
      <c r="E537" s="82"/>
      <c r="F537" s="82"/>
      <c r="G537" s="82"/>
      <c r="H537" s="155"/>
    </row>
    <row r="538" spans="1:8" ht="16">
      <c r="A538" s="66"/>
      <c r="B538" s="66"/>
      <c r="C538" s="66"/>
      <c r="D538" s="66"/>
      <c r="E538" s="66"/>
      <c r="F538" s="66"/>
      <c r="G538" s="66"/>
      <c r="H538" s="67"/>
    </row>
    <row r="539" spans="1:8" ht="13">
      <c r="A539" s="210" t="s">
        <v>540</v>
      </c>
      <c r="B539" s="82"/>
      <c r="C539" s="82"/>
      <c r="D539" s="82"/>
      <c r="E539" s="82"/>
      <c r="F539" s="82"/>
      <c r="G539" s="82"/>
      <c r="H539" s="155"/>
    </row>
    <row r="540" spans="1:8" ht="16">
      <c r="A540" s="211"/>
      <c r="B540" s="82"/>
      <c r="C540" s="82"/>
      <c r="D540" s="82"/>
      <c r="E540" s="82"/>
      <c r="F540" s="82"/>
      <c r="G540" s="82"/>
      <c r="H540" s="155"/>
    </row>
    <row r="541" spans="1:8" ht="16">
      <c r="A541" s="66"/>
      <c r="B541" s="66"/>
      <c r="C541" s="66"/>
      <c r="D541" s="66"/>
      <c r="E541" s="66"/>
      <c r="F541" s="66"/>
      <c r="G541" s="66"/>
      <c r="H541" s="67"/>
    </row>
    <row r="542" spans="1:8" ht="13">
      <c r="A542" s="207" t="s">
        <v>541</v>
      </c>
      <c r="B542" s="206"/>
      <c r="C542" s="206"/>
      <c r="D542" s="206"/>
      <c r="E542" s="206"/>
      <c r="F542" s="206"/>
      <c r="G542" s="206"/>
      <c r="H542" s="204"/>
    </row>
    <row r="543" spans="1:8" ht="13">
      <c r="A543" s="207" t="s">
        <v>483</v>
      </c>
      <c r="B543" s="204"/>
      <c r="C543" s="227" t="s">
        <v>542</v>
      </c>
      <c r="D543" s="204"/>
      <c r="E543" s="228" t="s">
        <v>543</v>
      </c>
      <c r="F543" s="206"/>
      <c r="G543" s="206"/>
      <c r="H543" s="204"/>
    </row>
    <row r="544" spans="1:8" ht="13">
      <c r="A544" s="208" t="s">
        <v>489</v>
      </c>
      <c r="B544" s="204"/>
      <c r="C544" s="203">
        <v>2000</v>
      </c>
      <c r="D544" s="204"/>
      <c r="E544" s="205" t="s">
        <v>544</v>
      </c>
      <c r="F544" s="206"/>
      <c r="G544" s="206"/>
      <c r="H544" s="204"/>
    </row>
    <row r="545" spans="1:8" ht="13">
      <c r="A545" s="208" t="s">
        <v>490</v>
      </c>
      <c r="B545" s="204"/>
      <c r="C545" s="203">
        <v>4500</v>
      </c>
      <c r="D545" s="204"/>
      <c r="E545" s="205" t="s">
        <v>545</v>
      </c>
      <c r="F545" s="206"/>
      <c r="G545" s="206"/>
      <c r="H545" s="204"/>
    </row>
    <row r="546" spans="1:8" ht="13">
      <c r="A546" s="208" t="s">
        <v>491</v>
      </c>
      <c r="B546" s="204"/>
      <c r="C546" s="203">
        <v>6000</v>
      </c>
      <c r="D546" s="204"/>
      <c r="E546" s="205" t="s">
        <v>546</v>
      </c>
      <c r="F546" s="206"/>
      <c r="G546" s="206"/>
      <c r="H546" s="204"/>
    </row>
    <row r="547" spans="1:8" ht="13">
      <c r="A547" s="208" t="s">
        <v>492</v>
      </c>
      <c r="B547" s="204"/>
      <c r="C547" s="203">
        <v>7000</v>
      </c>
      <c r="D547" s="204"/>
      <c r="E547" s="205" t="s">
        <v>547</v>
      </c>
      <c r="F547" s="206"/>
      <c r="G547" s="206"/>
      <c r="H547" s="204"/>
    </row>
    <row r="548" spans="1:8" ht="13">
      <c r="A548" s="208" t="s">
        <v>493</v>
      </c>
      <c r="B548" s="209"/>
      <c r="C548" s="203">
        <v>7500</v>
      </c>
      <c r="D548" s="204"/>
      <c r="E548" s="205" t="s">
        <v>548</v>
      </c>
      <c r="F548" s="206"/>
      <c r="G548" s="206"/>
      <c r="H548" s="204"/>
    </row>
    <row r="549" spans="1:8" ht="16">
      <c r="A549" s="66"/>
      <c r="B549" s="66"/>
      <c r="C549" s="66"/>
      <c r="D549" s="66"/>
      <c r="E549" s="66"/>
      <c r="F549" s="66"/>
      <c r="G549" s="66"/>
      <c r="H549" s="67"/>
    </row>
    <row r="550" spans="1:8" ht="16">
      <c r="A550" s="66"/>
      <c r="B550" s="66"/>
      <c r="C550" s="66"/>
      <c r="D550" s="66"/>
      <c r="E550" s="66"/>
      <c r="F550" s="66"/>
      <c r="G550" s="66"/>
      <c r="H550" s="67"/>
    </row>
    <row r="551" spans="1:8" ht="16">
      <c r="A551" s="66"/>
      <c r="B551" s="66"/>
      <c r="C551" s="66"/>
      <c r="D551" s="66"/>
      <c r="E551" s="66"/>
      <c r="F551" s="66"/>
      <c r="G551" s="66"/>
      <c r="H551" s="67"/>
    </row>
    <row r="552" spans="1:8" ht="13">
      <c r="A552" s="210" t="s">
        <v>495</v>
      </c>
      <c r="B552" s="82"/>
      <c r="C552" s="82"/>
      <c r="D552" s="82"/>
      <c r="E552" s="82"/>
      <c r="F552" s="82"/>
      <c r="G552" s="82"/>
      <c r="H552" s="155"/>
    </row>
    <row r="553" spans="1:8" ht="16">
      <c r="A553" s="211"/>
      <c r="B553" s="82"/>
      <c r="C553" s="82"/>
      <c r="D553" s="82"/>
      <c r="E553" s="82"/>
      <c r="F553" s="82"/>
      <c r="G553" s="82"/>
      <c r="H553" s="155"/>
    </row>
    <row r="554" spans="1:8" ht="13">
      <c r="A554" s="218" t="s">
        <v>496</v>
      </c>
      <c r="B554" s="196"/>
      <c r="C554" s="196"/>
      <c r="D554" s="196"/>
      <c r="E554" s="196"/>
      <c r="F554" s="196"/>
      <c r="G554" s="196"/>
      <c r="H554" s="197"/>
    </row>
    <row r="555" spans="1:8" ht="13">
      <c r="A555" s="219" t="s">
        <v>483</v>
      </c>
      <c r="B555" s="213"/>
      <c r="C555" s="220" t="s">
        <v>488</v>
      </c>
      <c r="D555" s="213"/>
      <c r="E555" s="220" t="s">
        <v>497</v>
      </c>
      <c r="F555" s="213"/>
      <c r="G555" s="220" t="s">
        <v>498</v>
      </c>
      <c r="H555" s="217"/>
    </row>
    <row r="556" spans="1:8" ht="13">
      <c r="A556" s="212" t="s">
        <v>489</v>
      </c>
      <c r="B556" s="213"/>
      <c r="C556" s="214">
        <v>2000</v>
      </c>
      <c r="D556" s="213"/>
      <c r="E556" s="215">
        <f>1/(1.1086^1)</f>
        <v>0.90203860725239038</v>
      </c>
      <c r="F556" s="213"/>
      <c r="G556" s="216">
        <f t="shared" ref="G556:G560" si="20">E556*C556</f>
        <v>1804.0772145047808</v>
      </c>
      <c r="H556" s="217"/>
    </row>
    <row r="557" spans="1:8" ht="13">
      <c r="A557" s="212" t="s">
        <v>490</v>
      </c>
      <c r="B557" s="213"/>
      <c r="C557" s="214">
        <v>4500</v>
      </c>
      <c r="D557" s="213"/>
      <c r="E557" s="215">
        <f>1/(1.1086^2)</f>
        <v>0.8136736489738321</v>
      </c>
      <c r="F557" s="213"/>
      <c r="G557" s="216">
        <f t="shared" si="20"/>
        <v>3661.5314203822445</v>
      </c>
      <c r="H557" s="217"/>
    </row>
    <row r="558" spans="1:8" ht="13">
      <c r="A558" s="212" t="s">
        <v>491</v>
      </c>
      <c r="B558" s="213"/>
      <c r="C558" s="214">
        <v>6000</v>
      </c>
      <c r="D558" s="213"/>
      <c r="E558" s="215">
        <f>1/(1.1086^3)</f>
        <v>0.73396504507832594</v>
      </c>
      <c r="F558" s="213"/>
      <c r="G558" s="216">
        <f t="shared" si="20"/>
        <v>4403.7902704699554</v>
      </c>
      <c r="H558" s="217"/>
    </row>
    <row r="559" spans="1:8" ht="13">
      <c r="A559" s="212" t="s">
        <v>492</v>
      </c>
      <c r="B559" s="213"/>
      <c r="C559" s="214">
        <v>7000</v>
      </c>
      <c r="D559" s="213"/>
      <c r="E559" s="215">
        <f>1/(1.1086^4)</f>
        <v>0.66206480703439097</v>
      </c>
      <c r="F559" s="213"/>
      <c r="G559" s="216">
        <f t="shared" si="20"/>
        <v>4634.4536492407369</v>
      </c>
      <c r="H559" s="217"/>
    </row>
    <row r="560" spans="1:8" ht="13">
      <c r="A560" s="218" t="s">
        <v>493</v>
      </c>
      <c r="B560" s="223"/>
      <c r="C560" s="229">
        <v>7500</v>
      </c>
      <c r="D560" s="223"/>
      <c r="E560" s="222">
        <f>1/(1.1086^5)</f>
        <v>0.5972080164481246</v>
      </c>
      <c r="F560" s="223"/>
      <c r="G560" s="224">
        <f t="shared" si="20"/>
        <v>4479.0601233609341</v>
      </c>
      <c r="H560" s="197"/>
    </row>
    <row r="561" spans="1:8" ht="13">
      <c r="A561" s="225" t="s">
        <v>549</v>
      </c>
      <c r="B561" s="88"/>
      <c r="C561" s="88"/>
      <c r="D561" s="100"/>
      <c r="E561" s="226">
        <f>SUM(G556:H560)</f>
        <v>18982.912677958651</v>
      </c>
      <c r="F561" s="88"/>
      <c r="G561" s="88"/>
      <c r="H561" s="100"/>
    </row>
    <row r="562" spans="1:8" ht="16">
      <c r="A562" s="221"/>
      <c r="B562" s="82"/>
      <c r="C562" s="82"/>
      <c r="D562" s="82"/>
      <c r="E562" s="82"/>
      <c r="F562" s="82"/>
      <c r="G562" s="82"/>
      <c r="H562" s="155"/>
    </row>
    <row r="563" spans="1:8" ht="16">
      <c r="A563" s="66"/>
      <c r="B563" s="66"/>
      <c r="C563" s="66"/>
      <c r="D563" s="66"/>
      <c r="E563" s="66"/>
      <c r="F563" s="66"/>
      <c r="G563" s="66"/>
      <c r="H563" s="67"/>
    </row>
    <row r="564" spans="1:8" ht="13">
      <c r="A564" s="210" t="s">
        <v>500</v>
      </c>
      <c r="B564" s="82"/>
      <c r="C564" s="82"/>
      <c r="D564" s="82"/>
      <c r="E564" s="82"/>
      <c r="F564" s="82"/>
      <c r="G564" s="82"/>
      <c r="H564" s="155"/>
    </row>
    <row r="565" spans="1:8" ht="16">
      <c r="A565" s="211"/>
      <c r="B565" s="82"/>
      <c r="C565" s="82"/>
      <c r="D565" s="82"/>
      <c r="E565" s="82"/>
      <c r="F565" s="82"/>
      <c r="G565" s="82"/>
      <c r="H565" s="155"/>
    </row>
    <row r="566" spans="1:8" ht="13">
      <c r="A566" s="221" t="s">
        <v>501</v>
      </c>
      <c r="B566" s="82"/>
      <c r="C566" s="82"/>
      <c r="D566" s="82"/>
      <c r="E566" s="82"/>
      <c r="F566" s="82"/>
      <c r="G566" s="82"/>
      <c r="H566" s="155"/>
    </row>
    <row r="567" spans="1:8" ht="16">
      <c r="A567" s="211"/>
      <c r="B567" s="82"/>
      <c r="C567" s="82"/>
      <c r="D567" s="82"/>
      <c r="E567" s="82"/>
      <c r="F567" s="82"/>
      <c r="G567" s="82"/>
      <c r="H567" s="155"/>
    </row>
    <row r="568" spans="1:8" ht="13">
      <c r="A568" s="211" t="s">
        <v>502</v>
      </c>
      <c r="B568" s="82"/>
      <c r="C568" s="82"/>
      <c r="D568" s="82"/>
      <c r="E568" s="82"/>
      <c r="F568" s="82"/>
      <c r="G568" s="82"/>
      <c r="H568" s="155"/>
    </row>
    <row r="569" spans="1:8" ht="13">
      <c r="A569" s="211" t="s">
        <v>550</v>
      </c>
      <c r="B569" s="82"/>
      <c r="C569" s="82"/>
      <c r="D569" s="82"/>
      <c r="E569" s="82"/>
      <c r="F569" s="82"/>
      <c r="G569" s="82"/>
      <c r="H569" s="155"/>
    </row>
    <row r="570" spans="1:8" ht="13">
      <c r="A570" s="211" t="s">
        <v>551</v>
      </c>
      <c r="B570" s="82"/>
      <c r="C570" s="82"/>
      <c r="D570" s="82"/>
      <c r="E570" s="82"/>
      <c r="F570" s="82"/>
      <c r="G570" s="82"/>
      <c r="H570" s="155"/>
    </row>
    <row r="571" spans="1:8" ht="16">
      <c r="A571" s="66"/>
      <c r="B571" s="66"/>
      <c r="C571" s="66"/>
      <c r="D571" s="66"/>
      <c r="E571" s="66"/>
      <c r="F571" s="66"/>
      <c r="G571" s="66"/>
      <c r="H571" s="67"/>
    </row>
    <row r="572" spans="1:8" ht="13">
      <c r="A572" s="221" t="s">
        <v>505</v>
      </c>
      <c r="B572" s="82"/>
      <c r="C572" s="82"/>
      <c r="D572" s="82"/>
      <c r="E572" s="82"/>
      <c r="F572" s="82"/>
      <c r="G572" s="82"/>
      <c r="H572" s="155"/>
    </row>
    <row r="573" spans="1:8" ht="13">
      <c r="A573" s="211" t="s">
        <v>552</v>
      </c>
      <c r="B573" s="82"/>
      <c r="C573" s="82"/>
      <c r="D573" s="82"/>
      <c r="E573" s="82"/>
      <c r="F573" s="82"/>
      <c r="G573" s="82"/>
      <c r="H573" s="155"/>
    </row>
    <row r="574" spans="1:8" ht="16">
      <c r="A574" s="66"/>
      <c r="B574" s="66"/>
      <c r="C574" s="66"/>
      <c r="D574" s="66"/>
      <c r="E574" s="66"/>
      <c r="F574" s="66"/>
      <c r="G574" s="66"/>
      <c r="H574" s="67"/>
    </row>
    <row r="575" spans="1:8" ht="13">
      <c r="A575" s="210" t="s">
        <v>507</v>
      </c>
      <c r="B575" s="82"/>
      <c r="C575" s="82"/>
      <c r="D575" s="82"/>
      <c r="E575" s="82"/>
      <c r="F575" s="82"/>
      <c r="G575" s="82"/>
      <c r="H575" s="155"/>
    </row>
    <row r="576" spans="1:8" ht="16">
      <c r="A576" s="211"/>
      <c r="B576" s="82"/>
      <c r="C576" s="82"/>
      <c r="D576" s="82"/>
      <c r="E576" s="82"/>
      <c r="F576" s="82"/>
      <c r="G576" s="82"/>
      <c r="H576" s="155"/>
    </row>
    <row r="577" spans="1:8" ht="13">
      <c r="A577" s="211" t="s">
        <v>508</v>
      </c>
      <c r="B577" s="82"/>
      <c r="C577" s="82"/>
      <c r="D577" s="82"/>
      <c r="E577" s="82"/>
      <c r="F577" s="82"/>
      <c r="G577" s="82"/>
      <c r="H577" s="155"/>
    </row>
    <row r="578" spans="1:8" ht="13">
      <c r="A578" s="221" t="s">
        <v>553</v>
      </c>
      <c r="B578" s="82"/>
      <c r="C578" s="82"/>
      <c r="D578" s="82"/>
      <c r="E578" s="82"/>
      <c r="F578" s="82"/>
      <c r="G578" s="82"/>
      <c r="H578" s="155"/>
    </row>
    <row r="579" spans="1:8" ht="16">
      <c r="A579" s="211"/>
      <c r="B579" s="82"/>
      <c r="C579" s="82"/>
      <c r="D579" s="82"/>
      <c r="E579" s="82"/>
      <c r="F579" s="82"/>
      <c r="G579" s="82"/>
      <c r="H579" s="155"/>
    </row>
    <row r="580" spans="1:8" ht="13">
      <c r="A580" s="210" t="s">
        <v>510</v>
      </c>
      <c r="B580" s="82"/>
      <c r="C580" s="82"/>
      <c r="D580" s="82"/>
      <c r="E580" s="82"/>
      <c r="F580" s="82"/>
      <c r="G580" s="82"/>
      <c r="H580" s="155"/>
    </row>
    <row r="581" spans="1:8" ht="16">
      <c r="A581" s="211"/>
      <c r="B581" s="82"/>
      <c r="C581" s="82"/>
      <c r="D581" s="82"/>
      <c r="E581" s="82"/>
      <c r="F581" s="82"/>
      <c r="G581" s="82"/>
      <c r="H581" s="155"/>
    </row>
    <row r="582" spans="1:8" ht="13">
      <c r="A582" s="211" t="s">
        <v>554</v>
      </c>
      <c r="B582" s="82"/>
      <c r="C582" s="82"/>
      <c r="D582" s="82"/>
      <c r="E582" s="82"/>
      <c r="F582" s="82"/>
      <c r="G582" s="82"/>
      <c r="H582" s="155"/>
    </row>
    <row r="583" spans="1:8" ht="16">
      <c r="A583" s="211"/>
      <c r="B583" s="82"/>
      <c r="C583" s="82"/>
      <c r="D583" s="82"/>
      <c r="E583" s="82"/>
      <c r="F583" s="82"/>
      <c r="G583" s="82"/>
      <c r="H583" s="155"/>
    </row>
    <row r="584" spans="1:8" ht="13">
      <c r="A584" s="210" t="s">
        <v>512</v>
      </c>
      <c r="B584" s="82"/>
      <c r="C584" s="82"/>
      <c r="D584" s="82"/>
      <c r="E584" s="82"/>
      <c r="F584" s="82"/>
      <c r="G584" s="82"/>
      <c r="H584" s="155"/>
    </row>
    <row r="585" spans="1:8" ht="16">
      <c r="A585" s="211"/>
      <c r="B585" s="82"/>
      <c r="C585" s="82"/>
      <c r="D585" s="82"/>
      <c r="E585" s="82"/>
      <c r="F585" s="82"/>
      <c r="G585" s="82"/>
      <c r="H585" s="155"/>
    </row>
    <row r="586" spans="1:8" ht="13">
      <c r="A586" s="221" t="s">
        <v>513</v>
      </c>
      <c r="B586" s="82"/>
      <c r="C586" s="82"/>
      <c r="D586" s="82"/>
      <c r="E586" s="82"/>
      <c r="F586" s="82"/>
      <c r="G586" s="82"/>
      <c r="H586" s="155"/>
    </row>
    <row r="587" spans="1:8" ht="13">
      <c r="A587" s="221" t="s">
        <v>514</v>
      </c>
      <c r="B587" s="82"/>
      <c r="C587" s="82"/>
      <c r="D587" s="82"/>
      <c r="E587" s="82"/>
      <c r="F587" s="82"/>
      <c r="G587" s="82"/>
      <c r="H587" s="155"/>
    </row>
    <row r="588" spans="1:8" ht="16">
      <c r="A588" s="211"/>
      <c r="B588" s="82"/>
      <c r="C588" s="82"/>
      <c r="D588" s="82"/>
      <c r="E588" s="82"/>
      <c r="F588" s="82"/>
      <c r="G588" s="82"/>
      <c r="H588" s="155"/>
    </row>
    <row r="589" spans="1:8" ht="13">
      <c r="A589" s="221" t="s">
        <v>555</v>
      </c>
      <c r="B589" s="82"/>
      <c r="C589" s="82"/>
      <c r="D589" s="82"/>
      <c r="E589" s="82"/>
      <c r="F589" s="82"/>
      <c r="G589" s="82"/>
      <c r="H589" s="155"/>
    </row>
    <row r="590" spans="1:8" ht="13">
      <c r="A590" s="221" t="s">
        <v>556</v>
      </c>
      <c r="B590" s="82"/>
      <c r="C590" s="82"/>
      <c r="D590" s="82"/>
      <c r="E590" s="82"/>
      <c r="F590" s="82"/>
      <c r="G590" s="82"/>
      <c r="H590" s="155"/>
    </row>
    <row r="591" spans="1:8" ht="16">
      <c r="A591" s="66"/>
      <c r="B591" s="66"/>
      <c r="C591" s="66"/>
      <c r="D591" s="66"/>
      <c r="E591" s="66"/>
      <c r="F591" s="66"/>
      <c r="G591" s="66"/>
      <c r="H591" s="67"/>
    </row>
    <row r="592" spans="1:8" ht="16">
      <c r="A592" s="66"/>
      <c r="B592" s="66"/>
      <c r="C592" s="66"/>
      <c r="D592" s="66"/>
      <c r="E592" s="66"/>
      <c r="F592" s="66"/>
      <c r="G592" s="66"/>
      <c r="H592" s="67"/>
    </row>
    <row r="593" spans="1:8" ht="16">
      <c r="A593" s="66"/>
      <c r="B593" s="66"/>
      <c r="C593" s="219" t="s">
        <v>316</v>
      </c>
      <c r="D593" s="213"/>
      <c r="E593" s="220" t="s">
        <v>420</v>
      </c>
      <c r="F593" s="213"/>
      <c r="G593" s="66"/>
      <c r="H593" s="67"/>
    </row>
    <row r="594" spans="1:8" ht="16">
      <c r="A594" s="66"/>
      <c r="B594" s="66"/>
      <c r="C594" s="212" t="s">
        <v>517</v>
      </c>
      <c r="D594" s="213"/>
      <c r="E594" s="215" t="s">
        <v>557</v>
      </c>
      <c r="F594" s="213"/>
      <c r="G594" s="66"/>
      <c r="H594" s="67"/>
    </row>
    <row r="595" spans="1:8" ht="16">
      <c r="A595" s="66"/>
      <c r="B595" s="66"/>
      <c r="C595" s="212" t="s">
        <v>519</v>
      </c>
      <c r="D595" s="213"/>
      <c r="E595" s="215" t="s">
        <v>558</v>
      </c>
      <c r="F595" s="213"/>
      <c r="G595" s="66"/>
      <c r="H595" s="67"/>
    </row>
    <row r="596" spans="1:8" ht="16">
      <c r="A596" s="66"/>
      <c r="B596" s="66"/>
      <c r="C596" s="212" t="s">
        <v>521</v>
      </c>
      <c r="D596" s="213"/>
      <c r="E596" s="215" t="s">
        <v>522</v>
      </c>
      <c r="F596" s="213"/>
      <c r="G596" s="66"/>
      <c r="H596" s="67"/>
    </row>
    <row r="597" spans="1:8" ht="16">
      <c r="A597" s="66"/>
      <c r="B597" s="66"/>
      <c r="C597" s="212" t="s">
        <v>535</v>
      </c>
      <c r="D597" s="213"/>
      <c r="E597" s="215" t="s">
        <v>559</v>
      </c>
      <c r="F597" s="213"/>
      <c r="G597" s="66"/>
      <c r="H597" s="67"/>
    </row>
    <row r="598" spans="1:8" ht="16">
      <c r="A598" s="68"/>
      <c r="B598" s="68"/>
      <c r="C598" s="68"/>
      <c r="D598" s="68"/>
      <c r="E598" s="68"/>
      <c r="F598" s="68"/>
      <c r="G598" s="68"/>
      <c r="H598" s="69"/>
    </row>
    <row r="599" spans="1:8" ht="16">
      <c r="A599" s="211"/>
      <c r="B599" s="82"/>
      <c r="C599" s="82"/>
      <c r="D599" s="82"/>
      <c r="E599" s="82"/>
      <c r="F599" s="82"/>
      <c r="G599" s="82"/>
      <c r="H599" s="155"/>
    </row>
    <row r="600" spans="1:8" ht="16">
      <c r="A600" s="70"/>
      <c r="B600" s="32"/>
      <c r="C600" s="32"/>
      <c r="D600" s="32"/>
      <c r="E600" s="32"/>
      <c r="F600" s="32"/>
      <c r="G600" s="32"/>
      <c r="H600" s="71"/>
    </row>
    <row r="601" spans="1:8" ht="16">
      <c r="A601" s="70"/>
      <c r="B601" s="32"/>
      <c r="C601" s="32"/>
      <c r="D601" s="32"/>
      <c r="E601" s="32"/>
      <c r="F601" s="32"/>
      <c r="G601" s="32"/>
      <c r="H601" s="71"/>
    </row>
    <row r="602" spans="1:8" ht="34">
      <c r="A602" s="70"/>
      <c r="B602" s="72" t="s">
        <v>560</v>
      </c>
      <c r="C602" s="72" t="s">
        <v>561</v>
      </c>
      <c r="D602" s="72" t="s">
        <v>562</v>
      </c>
      <c r="E602" s="72" t="s">
        <v>563</v>
      </c>
      <c r="F602" s="233" t="s">
        <v>564</v>
      </c>
      <c r="G602" s="100"/>
      <c r="H602" s="71"/>
    </row>
    <row r="603" spans="1:8" ht="17">
      <c r="A603" s="70"/>
      <c r="B603" s="61" t="s">
        <v>565</v>
      </c>
      <c r="C603" s="61" t="s">
        <v>566</v>
      </c>
      <c r="D603" s="61">
        <v>0</v>
      </c>
      <c r="E603" s="61" t="s">
        <v>567</v>
      </c>
      <c r="F603" s="231" t="s">
        <v>568</v>
      </c>
      <c r="G603" s="100"/>
      <c r="H603" s="71"/>
    </row>
    <row r="604" spans="1:8" ht="34">
      <c r="A604" s="70"/>
      <c r="B604" s="61" t="s">
        <v>569</v>
      </c>
      <c r="C604" s="62">
        <v>6671</v>
      </c>
      <c r="D604" s="61" t="s">
        <v>520</v>
      </c>
      <c r="E604" s="61" t="s">
        <v>567</v>
      </c>
      <c r="F604" s="231" t="s">
        <v>570</v>
      </c>
      <c r="G604" s="100"/>
      <c r="H604" s="71"/>
    </row>
    <row r="605" spans="1:8" ht="17">
      <c r="A605" s="70"/>
      <c r="B605" s="61" t="s">
        <v>571</v>
      </c>
      <c r="C605" s="62">
        <v>47817.96</v>
      </c>
      <c r="D605" s="61" t="s">
        <v>558</v>
      </c>
      <c r="E605" s="61" t="s">
        <v>567</v>
      </c>
      <c r="F605" s="231" t="s">
        <v>572</v>
      </c>
      <c r="G605" s="100"/>
      <c r="H605" s="71"/>
    </row>
    <row r="606" spans="1:8" ht="16">
      <c r="A606" s="70"/>
      <c r="B606" s="70"/>
      <c r="C606" s="70"/>
      <c r="D606" s="70"/>
      <c r="E606" s="70"/>
      <c r="F606" s="70"/>
      <c r="G606" s="70"/>
      <c r="H606" s="71"/>
    </row>
    <row r="607" spans="1:8" ht="16">
      <c r="A607" s="70"/>
      <c r="B607" s="232" t="s">
        <v>573</v>
      </c>
      <c r="C607" s="82"/>
      <c r="D607" s="82"/>
      <c r="E607" s="82"/>
      <c r="F607" s="82"/>
      <c r="G607" s="82"/>
      <c r="H607" s="71"/>
    </row>
    <row r="608" spans="1:8" ht="16">
      <c r="A608" s="70"/>
      <c r="B608" s="70"/>
      <c r="C608" s="70"/>
      <c r="D608" s="70"/>
      <c r="E608" s="70"/>
      <c r="F608" s="70"/>
      <c r="G608" s="70"/>
      <c r="H608" s="71"/>
    </row>
  </sheetData>
  <mergeCells count="682">
    <mergeCell ref="A533:H533"/>
    <mergeCell ref="A534:H534"/>
    <mergeCell ref="A535:H535"/>
    <mergeCell ref="A536:H536"/>
    <mergeCell ref="A537:H537"/>
    <mergeCell ref="F604:G604"/>
    <mergeCell ref="F605:G605"/>
    <mergeCell ref="B607:G607"/>
    <mergeCell ref="F602:G602"/>
    <mergeCell ref="F603:G603"/>
    <mergeCell ref="C544:D544"/>
    <mergeCell ref="E544:H544"/>
    <mergeCell ref="A545:B545"/>
    <mergeCell ref="C545:D545"/>
    <mergeCell ref="A544:B544"/>
    <mergeCell ref="A546:B546"/>
    <mergeCell ref="A547:B547"/>
    <mergeCell ref="C547:D547"/>
    <mergeCell ref="A539:H539"/>
    <mergeCell ref="A540:H540"/>
    <mergeCell ref="A524:H524"/>
    <mergeCell ref="A525:H525"/>
    <mergeCell ref="A526:H526"/>
    <mergeCell ref="A527:H527"/>
    <mergeCell ref="A528:H528"/>
    <mergeCell ref="A529:H529"/>
    <mergeCell ref="A530:H530"/>
    <mergeCell ref="A531:H531"/>
    <mergeCell ref="A532:H532"/>
    <mergeCell ref="C518:D518"/>
    <mergeCell ref="E518:F518"/>
    <mergeCell ref="C514:D514"/>
    <mergeCell ref="C515:D515"/>
    <mergeCell ref="E515:F515"/>
    <mergeCell ref="A520:H520"/>
    <mergeCell ref="A521:H521"/>
    <mergeCell ref="A522:H522"/>
    <mergeCell ref="A523:H523"/>
    <mergeCell ref="A508:H508"/>
    <mergeCell ref="A509:H509"/>
    <mergeCell ref="A510:H510"/>
    <mergeCell ref="A511:H511"/>
    <mergeCell ref="A512:H512"/>
    <mergeCell ref="C516:D516"/>
    <mergeCell ref="E516:F516"/>
    <mergeCell ref="C517:D517"/>
    <mergeCell ref="E517:F517"/>
    <mergeCell ref="A513:H513"/>
    <mergeCell ref="E514:F514"/>
    <mergeCell ref="A499:H499"/>
    <mergeCell ref="A500:H500"/>
    <mergeCell ref="A501:H501"/>
    <mergeCell ref="A502:H502"/>
    <mergeCell ref="A503:H503"/>
    <mergeCell ref="A504:H504"/>
    <mergeCell ref="A505:H505"/>
    <mergeCell ref="A506:H506"/>
    <mergeCell ref="A507:H507"/>
    <mergeCell ref="A583:H583"/>
    <mergeCell ref="A584:H584"/>
    <mergeCell ref="A585:H585"/>
    <mergeCell ref="A586:H586"/>
    <mergeCell ref="A587:H587"/>
    <mergeCell ref="A588:H588"/>
    <mergeCell ref="A589:H589"/>
    <mergeCell ref="A590:H590"/>
    <mergeCell ref="C593:D593"/>
    <mergeCell ref="E593:F593"/>
    <mergeCell ref="A542:H542"/>
    <mergeCell ref="C543:D543"/>
    <mergeCell ref="E543:H543"/>
    <mergeCell ref="E545:H545"/>
    <mergeCell ref="E547:H547"/>
    <mergeCell ref="A579:H579"/>
    <mergeCell ref="A580:H580"/>
    <mergeCell ref="A581:H581"/>
    <mergeCell ref="A582:H582"/>
    <mergeCell ref="E558:F558"/>
    <mergeCell ref="E559:F559"/>
    <mergeCell ref="A558:B558"/>
    <mergeCell ref="C558:D558"/>
    <mergeCell ref="A559:B559"/>
    <mergeCell ref="C559:D559"/>
    <mergeCell ref="A560:B560"/>
    <mergeCell ref="C560:D560"/>
    <mergeCell ref="C594:D594"/>
    <mergeCell ref="E594:F594"/>
    <mergeCell ref="C595:D595"/>
    <mergeCell ref="E595:F595"/>
    <mergeCell ref="C596:D596"/>
    <mergeCell ref="E596:F596"/>
    <mergeCell ref="C597:D597"/>
    <mergeCell ref="E597:F597"/>
    <mergeCell ref="A599:H599"/>
    <mergeCell ref="A568:H568"/>
    <mergeCell ref="A569:H569"/>
    <mergeCell ref="A570:H570"/>
    <mergeCell ref="A572:H572"/>
    <mergeCell ref="A573:H573"/>
    <mergeCell ref="A575:H575"/>
    <mergeCell ref="A576:H576"/>
    <mergeCell ref="A577:H577"/>
    <mergeCell ref="A578:H578"/>
    <mergeCell ref="A565:H565"/>
    <mergeCell ref="A566:H566"/>
    <mergeCell ref="E560:F560"/>
    <mergeCell ref="G558:H558"/>
    <mergeCell ref="G559:H559"/>
    <mergeCell ref="G560:H560"/>
    <mergeCell ref="A561:D561"/>
    <mergeCell ref="E561:H561"/>
    <mergeCell ref="A567:H567"/>
    <mergeCell ref="A562:H562"/>
    <mergeCell ref="A564:H564"/>
    <mergeCell ref="A557:B557"/>
    <mergeCell ref="C557:D557"/>
    <mergeCell ref="E557:F557"/>
    <mergeCell ref="G557:H557"/>
    <mergeCell ref="A554:H554"/>
    <mergeCell ref="A555:B555"/>
    <mergeCell ref="C555:D555"/>
    <mergeCell ref="E555:F555"/>
    <mergeCell ref="G555:H555"/>
    <mergeCell ref="C546:D546"/>
    <mergeCell ref="E546:H546"/>
    <mergeCell ref="A543:B543"/>
    <mergeCell ref="A548:B548"/>
    <mergeCell ref="C548:D548"/>
    <mergeCell ref="E548:H548"/>
    <mergeCell ref="A552:H552"/>
    <mergeCell ref="A553:H553"/>
    <mergeCell ref="A556:B556"/>
    <mergeCell ref="C556:D556"/>
    <mergeCell ref="E556:F556"/>
    <mergeCell ref="G556:H556"/>
    <mergeCell ref="A492:H492"/>
    <mergeCell ref="A493:H493"/>
    <mergeCell ref="A495:H495"/>
    <mergeCell ref="A496:H496"/>
    <mergeCell ref="A498:H498"/>
    <mergeCell ref="A453:H453"/>
    <mergeCell ref="A491:H491"/>
    <mergeCell ref="A485:H485"/>
    <mergeCell ref="A448:H448"/>
    <mergeCell ref="A452:H452"/>
    <mergeCell ref="A480:B480"/>
    <mergeCell ref="A479:B479"/>
    <mergeCell ref="G479:H479"/>
    <mergeCell ref="E479:F479"/>
    <mergeCell ref="C479:D479"/>
    <mergeCell ref="G478:H478"/>
    <mergeCell ref="E478:F478"/>
    <mergeCell ref="C478:D478"/>
    <mergeCell ref="A478:B478"/>
    <mergeCell ref="C481:D481"/>
    <mergeCell ref="C480:D480"/>
    <mergeCell ref="A481:B481"/>
    <mergeCell ref="A476:H476"/>
    <mergeCell ref="A477:H477"/>
    <mergeCell ref="G393:H393"/>
    <mergeCell ref="A437:H437"/>
    <mergeCell ref="A438:H438"/>
    <mergeCell ref="A439:H439"/>
    <mergeCell ref="A440:H440"/>
    <mergeCell ref="A441:H441"/>
    <mergeCell ref="A475:H475"/>
    <mergeCell ref="A460:H473"/>
    <mergeCell ref="C432:D432"/>
    <mergeCell ref="A484:D484"/>
    <mergeCell ref="E484:H484"/>
    <mergeCell ref="A487:H487"/>
    <mergeCell ref="A488:H488"/>
    <mergeCell ref="A489:H489"/>
    <mergeCell ref="A490:H490"/>
    <mergeCell ref="E432:F432"/>
    <mergeCell ref="A434:H434"/>
    <mergeCell ref="A435:H435"/>
    <mergeCell ref="A436:H436"/>
    <mergeCell ref="A450:H450"/>
    <mergeCell ref="A451:H451"/>
    <mergeCell ref="A442:H442"/>
    <mergeCell ref="A443:H443"/>
    <mergeCell ref="A444:H444"/>
    <mergeCell ref="A445:H445"/>
    <mergeCell ref="A446:H446"/>
    <mergeCell ref="A447:H447"/>
    <mergeCell ref="A449:H449"/>
    <mergeCell ref="G482:H482"/>
    <mergeCell ref="G483:H483"/>
    <mergeCell ref="A399:H399"/>
    <mergeCell ref="A400:H400"/>
    <mergeCell ref="A401:H401"/>
    <mergeCell ref="A402:H402"/>
    <mergeCell ref="A403:H403"/>
    <mergeCell ref="A397:H397"/>
    <mergeCell ref="A395:B395"/>
    <mergeCell ref="A482:B482"/>
    <mergeCell ref="C483:D483"/>
    <mergeCell ref="C482:D482"/>
    <mergeCell ref="A483:B483"/>
    <mergeCell ref="E482:F482"/>
    <mergeCell ref="E483:F483"/>
    <mergeCell ref="E480:F480"/>
    <mergeCell ref="E481:F481"/>
    <mergeCell ref="G480:H480"/>
    <mergeCell ref="G481:H481"/>
    <mergeCell ref="A394:B394"/>
    <mergeCell ref="C395:D395"/>
    <mergeCell ref="C394:D394"/>
    <mergeCell ref="G394:H394"/>
    <mergeCell ref="G395:H395"/>
    <mergeCell ref="E394:F394"/>
    <mergeCell ref="E395:F395"/>
    <mergeCell ref="A396:D396"/>
    <mergeCell ref="E396:H396"/>
    <mergeCell ref="A424:H424"/>
    <mergeCell ref="A425:H425"/>
    <mergeCell ref="E428:F428"/>
    <mergeCell ref="C428:D428"/>
    <mergeCell ref="C429:D429"/>
    <mergeCell ref="E429:F429"/>
    <mergeCell ref="C430:D430"/>
    <mergeCell ref="E430:F430"/>
    <mergeCell ref="C431:D431"/>
    <mergeCell ref="E431:F431"/>
    <mergeCell ref="A415:H415"/>
    <mergeCell ref="A416:H416"/>
    <mergeCell ref="A417:H417"/>
    <mergeCell ref="A418:H418"/>
    <mergeCell ref="A419:H419"/>
    <mergeCell ref="A420:H420"/>
    <mergeCell ref="A421:H421"/>
    <mergeCell ref="A422:H422"/>
    <mergeCell ref="A423:H423"/>
    <mergeCell ref="A404:H404"/>
    <mergeCell ref="A405:H405"/>
    <mergeCell ref="A407:H407"/>
    <mergeCell ref="A408:H408"/>
    <mergeCell ref="A410:H410"/>
    <mergeCell ref="A411:H411"/>
    <mergeCell ref="A412:H412"/>
    <mergeCell ref="A413:H413"/>
    <mergeCell ref="A414:H414"/>
    <mergeCell ref="A362:H362"/>
    <mergeCell ref="A363:H363"/>
    <mergeCell ref="A360:H360"/>
    <mergeCell ref="A364:H364"/>
    <mergeCell ref="A365:H365"/>
    <mergeCell ref="A387:H387"/>
    <mergeCell ref="A372:H385"/>
    <mergeCell ref="A388:H388"/>
    <mergeCell ref="A393:B393"/>
    <mergeCell ref="A389:H389"/>
    <mergeCell ref="E392:F392"/>
    <mergeCell ref="E393:F393"/>
    <mergeCell ref="A391:B391"/>
    <mergeCell ref="G391:H391"/>
    <mergeCell ref="E391:F391"/>
    <mergeCell ref="C391:D391"/>
    <mergeCell ref="G390:H390"/>
    <mergeCell ref="E390:F390"/>
    <mergeCell ref="C390:D390"/>
    <mergeCell ref="A390:B390"/>
    <mergeCell ref="A392:B392"/>
    <mergeCell ref="C393:D393"/>
    <mergeCell ref="C392:D392"/>
    <mergeCell ref="G392:H392"/>
    <mergeCell ref="A352:H352"/>
    <mergeCell ref="A353:H353"/>
    <mergeCell ref="A354:H354"/>
    <mergeCell ref="A355:H355"/>
    <mergeCell ref="A356:H356"/>
    <mergeCell ref="A357:H357"/>
    <mergeCell ref="A358:H358"/>
    <mergeCell ref="A359:H359"/>
    <mergeCell ref="A361:H361"/>
    <mergeCell ref="A342:H342"/>
    <mergeCell ref="A344:H345"/>
    <mergeCell ref="A346:H346"/>
    <mergeCell ref="A347:H347"/>
    <mergeCell ref="A348:H348"/>
    <mergeCell ref="A349:H349"/>
    <mergeCell ref="A350:H350"/>
    <mergeCell ref="A343:H343"/>
    <mergeCell ref="A351:H351"/>
    <mergeCell ref="A223:B223"/>
    <mergeCell ref="C223:D223"/>
    <mergeCell ref="E223:F223"/>
    <mergeCell ref="G170:H170"/>
    <mergeCell ref="A193:H193"/>
    <mergeCell ref="A205:H205"/>
    <mergeCell ref="A206:H206"/>
    <mergeCell ref="A207:H207"/>
    <mergeCell ref="A208:H208"/>
    <mergeCell ref="A171:H189"/>
    <mergeCell ref="A190:H192"/>
    <mergeCell ref="A220:B220"/>
    <mergeCell ref="C220:D220"/>
    <mergeCell ref="E220:F220"/>
    <mergeCell ref="C221:D221"/>
    <mergeCell ref="E221:F221"/>
    <mergeCell ref="A221:B221"/>
    <mergeCell ref="A222:B222"/>
    <mergeCell ref="C222:D222"/>
    <mergeCell ref="E222:F222"/>
    <mergeCell ref="A209:H209"/>
    <mergeCell ref="A210:H210"/>
    <mergeCell ref="A211:H211"/>
    <mergeCell ref="A212:H212"/>
    <mergeCell ref="A213:H213"/>
    <mergeCell ref="A214:H214"/>
    <mergeCell ref="A215:H215"/>
    <mergeCell ref="A216:H216"/>
    <mergeCell ref="A217:H217"/>
    <mergeCell ref="B167:C167"/>
    <mergeCell ref="B168:C168"/>
    <mergeCell ref="B169:C169"/>
    <mergeCell ref="B170:C170"/>
    <mergeCell ref="B164:C164"/>
    <mergeCell ref="B165:C165"/>
    <mergeCell ref="E165:F165"/>
    <mergeCell ref="G165:H165"/>
    <mergeCell ref="B166:C166"/>
    <mergeCell ref="G166:H166"/>
    <mergeCell ref="G167:H167"/>
    <mergeCell ref="E166:F166"/>
    <mergeCell ref="E167:F167"/>
    <mergeCell ref="E168:F168"/>
    <mergeCell ref="G168:H168"/>
    <mergeCell ref="E169:F169"/>
    <mergeCell ref="G169:H169"/>
    <mergeCell ref="E170:F170"/>
    <mergeCell ref="G135:H135"/>
    <mergeCell ref="G136:H136"/>
    <mergeCell ref="G137:H137"/>
    <mergeCell ref="G138:H138"/>
    <mergeCell ref="G139:H139"/>
    <mergeCell ref="A159:H161"/>
    <mergeCell ref="A163:H163"/>
    <mergeCell ref="E164:F164"/>
    <mergeCell ref="G164:H164"/>
    <mergeCell ref="A140:H158"/>
    <mergeCell ref="B133:C133"/>
    <mergeCell ref="B134:C134"/>
    <mergeCell ref="B135:C135"/>
    <mergeCell ref="B136:C136"/>
    <mergeCell ref="B137:C137"/>
    <mergeCell ref="B138:C138"/>
    <mergeCell ref="B139:C139"/>
    <mergeCell ref="D109:E109"/>
    <mergeCell ref="D110:E110"/>
    <mergeCell ref="A127:H129"/>
    <mergeCell ref="A131:H131"/>
    <mergeCell ref="B132:C132"/>
    <mergeCell ref="G132:H132"/>
    <mergeCell ref="G133:H133"/>
    <mergeCell ref="A111:H126"/>
    <mergeCell ref="E136:F136"/>
    <mergeCell ref="E137:F137"/>
    <mergeCell ref="E138:F138"/>
    <mergeCell ref="E139:F139"/>
    <mergeCell ref="E132:F132"/>
    <mergeCell ref="E133:F133"/>
    <mergeCell ref="E134:F134"/>
    <mergeCell ref="G134:H134"/>
    <mergeCell ref="E135:F135"/>
    <mergeCell ref="B108:C108"/>
    <mergeCell ref="B109:C109"/>
    <mergeCell ref="B110:C110"/>
    <mergeCell ref="B105:C105"/>
    <mergeCell ref="D105:E105"/>
    <mergeCell ref="B106:C106"/>
    <mergeCell ref="D106:E106"/>
    <mergeCell ref="B107:C107"/>
    <mergeCell ref="D107:E107"/>
    <mergeCell ref="D108:E108"/>
    <mergeCell ref="G36:H36"/>
    <mergeCell ref="A36:B36"/>
    <mergeCell ref="A37:B37"/>
    <mergeCell ref="C37:D37"/>
    <mergeCell ref="E37:F37"/>
    <mergeCell ref="G37:H37"/>
    <mergeCell ref="A38:B38"/>
    <mergeCell ref="C38:D38"/>
    <mergeCell ref="C89:E89"/>
    <mergeCell ref="F89:H89"/>
    <mergeCell ref="A84:B84"/>
    <mergeCell ref="A85:B85"/>
    <mergeCell ref="C85:D85"/>
    <mergeCell ref="E85:F85"/>
    <mergeCell ref="G85:H85"/>
    <mergeCell ref="A87:H87"/>
    <mergeCell ref="A89:B89"/>
    <mergeCell ref="A71:B71"/>
    <mergeCell ref="C71:D71"/>
    <mergeCell ref="C72:D72"/>
    <mergeCell ref="A72:B72"/>
    <mergeCell ref="A78:B78"/>
    <mergeCell ref="A79:B79"/>
    <mergeCell ref="A44:H64"/>
    <mergeCell ref="A82:H82"/>
    <mergeCell ref="A83:B83"/>
    <mergeCell ref="C83:D83"/>
    <mergeCell ref="E83:F83"/>
    <mergeCell ref="G83:H83"/>
    <mergeCell ref="G84:H84"/>
    <mergeCell ref="C75:D75"/>
    <mergeCell ref="E75:F75"/>
    <mergeCell ref="C84:D84"/>
    <mergeCell ref="E84:F84"/>
    <mergeCell ref="E72:F72"/>
    <mergeCell ref="A70:B70"/>
    <mergeCell ref="C70:D70"/>
    <mergeCell ref="E70:F70"/>
    <mergeCell ref="E71:F71"/>
    <mergeCell ref="A93:H95"/>
    <mergeCell ref="A96:H98"/>
    <mergeCell ref="A102:H102"/>
    <mergeCell ref="B103:C103"/>
    <mergeCell ref="D103:E103"/>
    <mergeCell ref="B104:C104"/>
    <mergeCell ref="D104:E104"/>
    <mergeCell ref="E79:F79"/>
    <mergeCell ref="C79:D79"/>
    <mergeCell ref="A80:H81"/>
    <mergeCell ref="C92:E92"/>
    <mergeCell ref="F92:H92"/>
    <mergeCell ref="A90:B90"/>
    <mergeCell ref="C90:E90"/>
    <mergeCell ref="F90:H90"/>
    <mergeCell ref="A91:B91"/>
    <mergeCell ref="C91:E91"/>
    <mergeCell ref="F91:H91"/>
    <mergeCell ref="A92:B92"/>
    <mergeCell ref="C78:D78"/>
    <mergeCell ref="E78:F78"/>
    <mergeCell ref="E76:F76"/>
    <mergeCell ref="C26:E26"/>
    <mergeCell ref="F26:H26"/>
    <mergeCell ref="A24:B24"/>
    <mergeCell ref="C24:E24"/>
    <mergeCell ref="F24:H24"/>
    <mergeCell ref="A25:B25"/>
    <mergeCell ref="C25:E25"/>
    <mergeCell ref="F25:H25"/>
    <mergeCell ref="A26:B26"/>
    <mergeCell ref="C29:E29"/>
    <mergeCell ref="F29:H29"/>
    <mergeCell ref="A43:B43"/>
    <mergeCell ref="G43:H43"/>
    <mergeCell ref="A76:B76"/>
    <mergeCell ref="C76:D76"/>
    <mergeCell ref="A68:H68"/>
    <mergeCell ref="A69:B69"/>
    <mergeCell ref="A66:D66"/>
    <mergeCell ref="E66:H66"/>
    <mergeCell ref="A65:H65"/>
    <mergeCell ref="C77:D77"/>
    <mergeCell ref="C69:D69"/>
    <mergeCell ref="E69:F69"/>
    <mergeCell ref="C43:D43"/>
    <mergeCell ref="E43:F43"/>
    <mergeCell ref="A73:B73"/>
    <mergeCell ref="C73:D73"/>
    <mergeCell ref="A75:B75"/>
    <mergeCell ref="A77:B77"/>
    <mergeCell ref="E73:F73"/>
    <mergeCell ref="A74:B74"/>
    <mergeCell ref="C74:D74"/>
    <mergeCell ref="E74:F74"/>
    <mergeCell ref="E77:F77"/>
    <mergeCell ref="A39:B39"/>
    <mergeCell ref="C39:D39"/>
    <mergeCell ref="E39:F39"/>
    <mergeCell ref="G39:H39"/>
    <mergeCell ref="G40:H40"/>
    <mergeCell ref="C40:D40"/>
    <mergeCell ref="E40:F40"/>
    <mergeCell ref="E42:F42"/>
    <mergeCell ref="G42:H42"/>
    <mergeCell ref="A40:B40"/>
    <mergeCell ref="A41:B41"/>
    <mergeCell ref="C41:D41"/>
    <mergeCell ref="E41:F41"/>
    <mergeCell ref="G41:H41"/>
    <mergeCell ref="A42:B42"/>
    <mergeCell ref="C42:D42"/>
    <mergeCell ref="A18:B18"/>
    <mergeCell ref="C18:D18"/>
    <mergeCell ref="E18:F18"/>
    <mergeCell ref="A22:H22"/>
    <mergeCell ref="A23:B23"/>
    <mergeCell ref="C23:E23"/>
    <mergeCell ref="F23:H23"/>
    <mergeCell ref="E38:F38"/>
    <mergeCell ref="G38:H38"/>
    <mergeCell ref="A27:B27"/>
    <mergeCell ref="C27:E27"/>
    <mergeCell ref="F27:H27"/>
    <mergeCell ref="A28:B28"/>
    <mergeCell ref="C28:E28"/>
    <mergeCell ref="F28:H28"/>
    <mergeCell ref="A29:B29"/>
    <mergeCell ref="A30:B30"/>
    <mergeCell ref="C30:E30"/>
    <mergeCell ref="F30:H30"/>
    <mergeCell ref="A31:C31"/>
    <mergeCell ref="A32:H33"/>
    <mergeCell ref="A35:H35"/>
    <mergeCell ref="C36:D36"/>
    <mergeCell ref="E36:F36"/>
    <mergeCell ref="C14:D14"/>
    <mergeCell ref="E14:F14"/>
    <mergeCell ref="A12:B12"/>
    <mergeCell ref="C12:D12"/>
    <mergeCell ref="E12:F12"/>
    <mergeCell ref="A13:B13"/>
    <mergeCell ref="C13:D13"/>
    <mergeCell ref="E13:F13"/>
    <mergeCell ref="A14:B14"/>
    <mergeCell ref="C11:D11"/>
    <mergeCell ref="E11:F11"/>
    <mergeCell ref="A9:B9"/>
    <mergeCell ref="C9:D9"/>
    <mergeCell ref="E9:F9"/>
    <mergeCell ref="A10:B10"/>
    <mergeCell ref="C10:D10"/>
    <mergeCell ref="E10:F10"/>
    <mergeCell ref="A11:B11"/>
    <mergeCell ref="C8:D8"/>
    <mergeCell ref="E8:F8"/>
    <mergeCell ref="A1:H1"/>
    <mergeCell ref="A2:H2"/>
    <mergeCell ref="A3:H3"/>
    <mergeCell ref="A4:H4"/>
    <mergeCell ref="A5:H5"/>
    <mergeCell ref="A8:B8"/>
    <mergeCell ref="A6:H6"/>
    <mergeCell ref="C17:D17"/>
    <mergeCell ref="E17:F17"/>
    <mergeCell ref="A15:B15"/>
    <mergeCell ref="C15:D15"/>
    <mergeCell ref="E15:F15"/>
    <mergeCell ref="A16:B16"/>
    <mergeCell ref="C16:D16"/>
    <mergeCell ref="E16:F16"/>
    <mergeCell ref="A17:B17"/>
    <mergeCell ref="A336:H336"/>
    <mergeCell ref="A337:H337"/>
    <mergeCell ref="A338:H338"/>
    <mergeCell ref="A339:H339"/>
    <mergeCell ref="A340:H340"/>
    <mergeCell ref="A341:H341"/>
    <mergeCell ref="D333:E333"/>
    <mergeCell ref="A329:H329"/>
    <mergeCell ref="A267:B267"/>
    <mergeCell ref="C267:D267"/>
    <mergeCell ref="E267:F267"/>
    <mergeCell ref="C315:F315"/>
    <mergeCell ref="A317:H317"/>
    <mergeCell ref="C321:D321"/>
    <mergeCell ref="C322:D322"/>
    <mergeCell ref="C323:D323"/>
    <mergeCell ref="C324:D324"/>
    <mergeCell ref="A328:H328"/>
    <mergeCell ref="A326:H326"/>
    <mergeCell ref="A335:H335"/>
    <mergeCell ref="C307:D307"/>
    <mergeCell ref="E307:F307"/>
    <mergeCell ref="C308:D308"/>
    <mergeCell ref="E308:F308"/>
    <mergeCell ref="C309:D309"/>
    <mergeCell ref="E309:F309"/>
    <mergeCell ref="C312:F312"/>
    <mergeCell ref="C313:F313"/>
    <mergeCell ref="C314:F314"/>
    <mergeCell ref="A296:H296"/>
    <mergeCell ref="A297:H297"/>
    <mergeCell ref="A295:H295"/>
    <mergeCell ref="D299:E299"/>
    <mergeCell ref="D300:E300"/>
    <mergeCell ref="D301:E301"/>
    <mergeCell ref="D302:E302"/>
    <mergeCell ref="A304:H304"/>
    <mergeCell ref="C306:D306"/>
    <mergeCell ref="E306:F306"/>
    <mergeCell ref="B287:E287"/>
    <mergeCell ref="F287:H287"/>
    <mergeCell ref="B288:E288"/>
    <mergeCell ref="F288:H288"/>
    <mergeCell ref="A290:H290"/>
    <mergeCell ref="D291:E291"/>
    <mergeCell ref="A292:H292"/>
    <mergeCell ref="A293:H293"/>
    <mergeCell ref="A294:H294"/>
    <mergeCell ref="A279:H279"/>
    <mergeCell ref="A281:H281"/>
    <mergeCell ref="A283:H283"/>
    <mergeCell ref="B285:E285"/>
    <mergeCell ref="F285:H285"/>
    <mergeCell ref="B286:E286"/>
    <mergeCell ref="F286:H286"/>
    <mergeCell ref="A269:H277"/>
    <mergeCell ref="A227:B227"/>
    <mergeCell ref="C227:D227"/>
    <mergeCell ref="A229:H229"/>
    <mergeCell ref="A230:H230"/>
    <mergeCell ref="A231:H231"/>
    <mergeCell ref="A232:H232"/>
    <mergeCell ref="A233:H233"/>
    <mergeCell ref="E227:F227"/>
    <mergeCell ref="A241:B241"/>
    <mergeCell ref="A242:B242"/>
    <mergeCell ref="A243:B243"/>
    <mergeCell ref="A234:H234"/>
    <mergeCell ref="A237:H237"/>
    <mergeCell ref="A238:B238"/>
    <mergeCell ref="E238:F238"/>
    <mergeCell ref="G238:H238"/>
    <mergeCell ref="E239:F239"/>
    <mergeCell ref="G239:H239"/>
    <mergeCell ref="E240:F240"/>
    <mergeCell ref="G240:H240"/>
    <mergeCell ref="E241:F241"/>
    <mergeCell ref="G241:H241"/>
    <mergeCell ref="E242:F242"/>
    <mergeCell ref="G242:H242"/>
    <mergeCell ref="E243:F243"/>
    <mergeCell ref="A224:B224"/>
    <mergeCell ref="C224:D224"/>
    <mergeCell ref="E224:F224"/>
    <mergeCell ref="A225:B225"/>
    <mergeCell ref="C225:D225"/>
    <mergeCell ref="E225:F225"/>
    <mergeCell ref="A226:B226"/>
    <mergeCell ref="A239:B239"/>
    <mergeCell ref="A240:B240"/>
    <mergeCell ref="C226:D226"/>
    <mergeCell ref="E226:F226"/>
    <mergeCell ref="C266:D266"/>
    <mergeCell ref="E266:F266"/>
    <mergeCell ref="A264:B264"/>
    <mergeCell ref="C264:D264"/>
    <mergeCell ref="E264:F264"/>
    <mergeCell ref="A265:B265"/>
    <mergeCell ref="C265:D265"/>
    <mergeCell ref="E265:F265"/>
    <mergeCell ref="A266:B266"/>
    <mergeCell ref="C263:D263"/>
    <mergeCell ref="E263:F263"/>
    <mergeCell ref="A261:B261"/>
    <mergeCell ref="C261:D261"/>
    <mergeCell ref="E261:F261"/>
    <mergeCell ref="A262:B262"/>
    <mergeCell ref="C262:D262"/>
    <mergeCell ref="E262:F262"/>
    <mergeCell ref="A263:B263"/>
    <mergeCell ref="C253:D253"/>
    <mergeCell ref="F253:H253"/>
    <mergeCell ref="C254:D254"/>
    <mergeCell ref="F254:H254"/>
    <mergeCell ref="A257:H257"/>
    <mergeCell ref="C260:D260"/>
    <mergeCell ref="E260:F260"/>
    <mergeCell ref="A258:B258"/>
    <mergeCell ref="C258:D258"/>
    <mergeCell ref="E258:F258"/>
    <mergeCell ref="A259:B259"/>
    <mergeCell ref="C259:D259"/>
    <mergeCell ref="E259:F259"/>
    <mergeCell ref="A260:B260"/>
    <mergeCell ref="G243:H243"/>
    <mergeCell ref="A246:H246"/>
    <mergeCell ref="A248:H248"/>
    <mergeCell ref="C249:D249"/>
    <mergeCell ref="F249:H249"/>
    <mergeCell ref="C250:D250"/>
    <mergeCell ref="C251:D251"/>
    <mergeCell ref="C252:D252"/>
    <mergeCell ref="F252:H252"/>
    <mergeCell ref="F250:H250"/>
    <mergeCell ref="F251:H2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B6"/>
  <sheetViews>
    <sheetView workbookViewId="0">
      <selection sqref="A1:B1"/>
    </sheetView>
  </sheetViews>
  <sheetFormatPr baseColWidth="10" defaultColWidth="11.1640625" defaultRowHeight="15.75" customHeight="1"/>
  <cols>
    <col min="1" max="1" width="66.83203125" customWidth="1"/>
    <col min="2" max="2" width="70.33203125" customWidth="1"/>
  </cols>
  <sheetData>
    <row r="1" spans="1:2" ht="15.75" customHeight="1">
      <c r="A1" s="234" t="s">
        <v>574</v>
      </c>
      <c r="B1" s="82"/>
    </row>
    <row r="2" spans="1:2" ht="15.75" customHeight="1">
      <c r="A2" s="73" t="s">
        <v>575</v>
      </c>
      <c r="B2" s="74" t="s">
        <v>576</v>
      </c>
    </row>
    <row r="3" spans="1:2" ht="15.75" customHeight="1">
      <c r="A3" s="73" t="s">
        <v>577</v>
      </c>
      <c r="B3" s="74" t="s">
        <v>578</v>
      </c>
    </row>
    <row r="4" spans="1:2" ht="15.75" customHeight="1">
      <c r="A4" s="73" t="s">
        <v>579</v>
      </c>
      <c r="B4" s="74" t="s">
        <v>580</v>
      </c>
    </row>
    <row r="5" spans="1:2" ht="15.75" customHeight="1">
      <c r="A5" s="73" t="s">
        <v>581</v>
      </c>
      <c r="B5" s="74" t="s">
        <v>582</v>
      </c>
    </row>
    <row r="6" spans="1:2" ht="15.75" customHeight="1">
      <c r="A6" s="73" t="s">
        <v>583</v>
      </c>
      <c r="B6" s="74" t="s">
        <v>584</v>
      </c>
    </row>
  </sheetData>
  <mergeCells count="1">
    <mergeCell ref="A1:B1"/>
  </mergeCells>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Team Members</vt:lpstr>
      <vt:lpstr>Part I Corporate Governance</vt:lpstr>
      <vt:lpstr>Part II IPO Analysis</vt:lpstr>
      <vt:lpstr>Part III – Financial Management</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SHIVAM SINGLA</cp:lastModifiedBy>
  <dcterms:modified xsi:type="dcterms:W3CDTF">2026-03-01T10:43:02Z</dcterms:modified>
</cp:coreProperties>
</file>